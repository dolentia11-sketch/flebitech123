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MILIA P. ESCOBAR\Downloads\"/>
    </mc:Choice>
  </mc:AlternateContent>
  <bookViews>
    <workbookView xWindow="0" yWindow="0" windowWidth="23040" windowHeight="9072" tabRatio="500" firstSheet="1" activeTab="3"/>
  </bookViews>
  <sheets>
    <sheet name="Guía y Metodología" sheetId="1" r:id="rId1"/>
    <sheet name="Fuentes y Supuestos" sheetId="2" r:id="rId2"/>
    <sheet name="Variables y Categorías" sheetId="3" r:id="rId3"/>
    <sheet name="Matriz de Pesos" sheetId="4" r:id="rId4"/>
    <sheet name="Motor de Scoring" sheetId="5" r:id="rId5"/>
    <sheet name="Datos de Mercado CO" sheetId="6" r:id="rId6"/>
  </sheet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E45" i="5" l="1"/>
  <c r="E39" i="5"/>
  <c r="E37" i="5"/>
  <c r="L30" i="5"/>
  <c r="F30" i="5"/>
  <c r="E30" i="5"/>
  <c r="D30" i="5"/>
  <c r="I29" i="5"/>
  <c r="H29" i="5"/>
  <c r="G29" i="5"/>
  <c r="L28" i="5"/>
  <c r="K28" i="5"/>
  <c r="J28" i="5"/>
  <c r="D28" i="5"/>
  <c r="C28" i="5"/>
  <c r="B28" i="5"/>
  <c r="G27" i="5"/>
  <c r="F27" i="5"/>
  <c r="E27" i="5"/>
  <c r="J26" i="5"/>
  <c r="I26" i="5"/>
  <c r="H26" i="5"/>
  <c r="B26" i="5"/>
  <c r="L25" i="5"/>
  <c r="K25" i="5"/>
  <c r="D25" i="5"/>
  <c r="C25" i="5"/>
  <c r="F24" i="5"/>
  <c r="L22" i="5"/>
  <c r="F22" i="5"/>
  <c r="E22" i="5"/>
  <c r="D22" i="5"/>
  <c r="I21" i="5"/>
  <c r="H21" i="5"/>
  <c r="G21" i="5"/>
  <c r="L20" i="5"/>
  <c r="K20" i="5"/>
  <c r="J20" i="5"/>
  <c r="D20" i="5"/>
  <c r="C20" i="5"/>
  <c r="B20" i="5"/>
  <c r="D15" i="5"/>
  <c r="K30" i="5" s="1"/>
  <c r="D14" i="5"/>
  <c r="F29" i="5" s="1"/>
  <c r="D13" i="5"/>
  <c r="I28" i="5" s="1"/>
  <c r="D12" i="5"/>
  <c r="L27" i="5" s="1"/>
  <c r="D11" i="5"/>
  <c r="G26" i="5" s="1"/>
  <c r="D10" i="5"/>
  <c r="J25" i="5" s="1"/>
  <c r="D9" i="5"/>
  <c r="G24" i="5" s="1"/>
  <c r="D8" i="5"/>
  <c r="J23" i="5" s="1"/>
  <c r="D7" i="5"/>
  <c r="K22" i="5" s="1"/>
  <c r="D6" i="5"/>
  <c r="F21" i="5" s="1"/>
  <c r="D5" i="5"/>
  <c r="I20" i="5" s="1"/>
  <c r="N38" i="4"/>
  <c r="E46" i="5" s="1"/>
  <c r="M38" i="4"/>
  <c r="L38" i="4"/>
  <c r="E44" i="5" s="1"/>
  <c r="K38" i="4"/>
  <c r="E43" i="5" s="1"/>
  <c r="J38" i="4"/>
  <c r="E42" i="5" s="1"/>
  <c r="I38" i="4"/>
  <c r="E41" i="5" s="1"/>
  <c r="H38" i="4"/>
  <c r="E40" i="5" s="1"/>
  <c r="G38" i="4"/>
  <c r="F38" i="4"/>
  <c r="E38" i="5" s="1"/>
  <c r="E38" i="4"/>
  <c r="D38" i="4"/>
  <c r="E36" i="5" s="1"/>
  <c r="E20" i="5" l="1"/>
  <c r="B21" i="5"/>
  <c r="B31" i="5" s="1"/>
  <c r="D36" i="5" s="1"/>
  <c r="J21" i="5"/>
  <c r="J31" i="5" s="1"/>
  <c r="D44" i="5" s="1"/>
  <c r="G22" i="5"/>
  <c r="D23" i="5"/>
  <c r="L23" i="5"/>
  <c r="I24" i="5"/>
  <c r="F25" i="5"/>
  <c r="C26" i="5"/>
  <c r="K26" i="5"/>
  <c r="H27" i="5"/>
  <c r="E28" i="5"/>
  <c r="B29" i="5"/>
  <c r="J29" i="5"/>
  <c r="G30" i="5"/>
  <c r="F20" i="5"/>
  <c r="C21" i="5"/>
  <c r="C31" i="5" s="1"/>
  <c r="D37" i="5" s="1"/>
  <c r="K21" i="5"/>
  <c r="K31" i="5" s="1"/>
  <c r="D45" i="5" s="1"/>
  <c r="H22" i="5"/>
  <c r="E23" i="5"/>
  <c r="B24" i="5"/>
  <c r="J24" i="5"/>
  <c r="G25" i="5"/>
  <c r="D26" i="5"/>
  <c r="L26" i="5"/>
  <c r="I27" i="5"/>
  <c r="F28" i="5"/>
  <c r="C29" i="5"/>
  <c r="K29" i="5"/>
  <c r="H30" i="5"/>
  <c r="G20" i="5"/>
  <c r="D21" i="5"/>
  <c r="D31" i="5" s="1"/>
  <c r="D38" i="5" s="1"/>
  <c r="L21" i="5"/>
  <c r="L31" i="5" s="1"/>
  <c r="D46" i="5" s="1"/>
  <c r="I22" i="5"/>
  <c r="I31" i="5" s="1"/>
  <c r="D43" i="5" s="1"/>
  <c r="F23" i="5"/>
  <c r="C24" i="5"/>
  <c r="K24" i="5"/>
  <c r="H25" i="5"/>
  <c r="E26" i="5"/>
  <c r="B27" i="5"/>
  <c r="J27" i="5"/>
  <c r="G28" i="5"/>
  <c r="D29" i="5"/>
  <c r="L29" i="5"/>
  <c r="I30" i="5"/>
  <c r="C23" i="5"/>
  <c r="K23" i="5"/>
  <c r="H24" i="5"/>
  <c r="E25" i="5"/>
  <c r="H20" i="5"/>
  <c r="E21" i="5"/>
  <c r="B22" i="5"/>
  <c r="J22" i="5"/>
  <c r="G23" i="5"/>
  <c r="D24" i="5"/>
  <c r="L24" i="5"/>
  <c r="I25" i="5"/>
  <c r="F26" i="5"/>
  <c r="C27" i="5"/>
  <c r="K27" i="5"/>
  <c r="H28" i="5"/>
  <c r="E29" i="5"/>
  <c r="B30" i="5"/>
  <c r="J30" i="5"/>
  <c r="C22" i="5"/>
  <c r="H23" i="5"/>
  <c r="E24" i="5"/>
  <c r="B25" i="5"/>
  <c r="D27" i="5"/>
  <c r="C30" i="5"/>
  <c r="I23" i="5"/>
  <c r="B23" i="5"/>
  <c r="F38" i="5" l="1"/>
  <c r="A38" i="5"/>
  <c r="A43" i="5"/>
  <c r="F43" i="5"/>
  <c r="A45" i="5"/>
  <c r="F45" i="5"/>
  <c r="F36" i="5"/>
  <c r="A36" i="5"/>
  <c r="F44" i="5"/>
  <c r="A44" i="5"/>
  <c r="F46" i="5"/>
  <c r="A46" i="5"/>
  <c r="A37" i="5"/>
  <c r="F37" i="5"/>
  <c r="F31" i="5"/>
  <c r="D40" i="5" s="1"/>
  <c r="G31" i="5"/>
  <c r="D41" i="5" s="1"/>
  <c r="E31" i="5"/>
  <c r="D39" i="5" s="1"/>
  <c r="H31" i="5"/>
  <c r="D42" i="5" s="1"/>
  <c r="F42" i="5" l="1"/>
  <c r="A42" i="5"/>
  <c r="A41" i="5"/>
  <c r="F41" i="5"/>
  <c r="F40" i="5"/>
  <c r="A40" i="5"/>
  <c r="B52" i="5"/>
  <c r="B51" i="5"/>
  <c r="B50" i="5"/>
  <c r="A39" i="5"/>
  <c r="F39" i="5"/>
</calcChain>
</file>

<file path=xl/sharedStrings.xml><?xml version="1.0" encoding="utf-8"?>
<sst xmlns="http://schemas.openxmlformats.org/spreadsheetml/2006/main" count="517" uniqueCount="327">
  <si>
    <t>Motor de Scoring de Seguros — Colsubsidio</t>
  </si>
  <si>
    <t>Segmentación e hiperpersonalización para autogestión de cotización — línea Familia y línea Patrimonio</t>
  </si>
  <si>
    <t>1. Qué es este archivo</t>
  </si>
  <si>
    <t>Este workbook es el corazón analítico (motor de reglas) para la automatización del flujo de cotización de seguros de Colsubsidio: contenido → cotización → hiperpersonalización → conversación con un asesor.</t>
  </si>
  <si>
    <t>Se construyó con datos públicos del mercado asegurador colombiano (Fasecolda, DANE, Instituto Nacional de Cancerología, Superintendencia Financiera, entre otros — ver hoja 'Fuentes y Supuestos') porque actualmente no existe acceso a las variables ni a los datos reales de afiliados de Colsubsidio. Es un punto de partida defendible y transparente para validar con el equipo técnico de la caja de compensación una vez haya acceso a sus datos sociodemográficos, laborales y familiares reales.</t>
  </si>
  <si>
    <t>2. Cómo está organizado</t>
  </si>
  <si>
    <t>• Guía y Metodología (esta hoja): contexto y forma de uso.</t>
  </si>
  <si>
    <t>• Fuentes y Supuestos: cada dato usado para calibrar los pesos, con fuente y fecha.</t>
  </si>
  <si>
    <t>• Variables y Categorías: las 11 variables de segmentación y sus posibles valores.</t>
  </si>
  <si>
    <t>• Matriz de Pesos: el motor de reglas — cada combinación variable-valor tiene un peso (0 a 5) por cada uno de los 11 seguros. Esta es la hoja que se traduce directamente a una tabla de reglas en n8n / Supabase.</t>
  </si>
  <si>
    <t>• Motor de Scoring (simulador): selecciona un perfil con listas desplegables y obtén el ranking de los seguros sugeridos, replicando lo que haría el asistente Hola Seggu con un usuario real.</t>
  </si>
  <si>
    <t>• Datos de Mercado CO: la ficha de estadísticas por cada uno de los 11 seguros, usada para justificar los pesos asignados.</t>
  </si>
  <si>
    <t>3. Cómo se calcula el score (lógica del motor de reglas)</t>
  </si>
  <si>
    <t>Cada usuario se describe con 11 variables (edad, género, situación laboral, nivel de ingreso, composición familiar, tipo de vivienda, si es arrendador, si tiene vehículo, si tiene mascota, si usa bicicleta y si es jefatura de hogar femenina sin pareja).</t>
  </si>
  <si>
    <t>Para cada variable, el usuario cae en una sola categoría (p. ej. edad = '36-45 años'). Esa combinación 'variable | categoría' tiene un peso de 0 a 5 para cada uno de los 11 seguros en la Matriz de Pesos (0 = sin relevancia, 5 = máxima relevancia/prioridad).</t>
  </si>
  <si>
    <t>El score de un seguro para un usuario es la suma de los pesos de sus 11 combinaciones variable-categoría para ese seguro. El score máximo teórico se calcula tomando, para cada variable, el peso más alto posible en ese seguro y sumándolos — así el score se puede normalizar como % del máximo y ordenarse.</t>
  </si>
  <si>
    <t>El sistema siempre debe entregar primero el seguro que el usuario buscó explícitamente (regla de negocio: en el 90% de los casos el usuario ya sabe qué quiere) y complementarlo con las 2 sugerencias adicionales de mayor score restantes — esa lógica de 'entregar + sugerir' se implementa en el motor de automatización (n8n / Hola Seggu), no en este archivo, que calcula el score puro de los 11 productos.</t>
  </si>
  <si>
    <t>4. Limitaciones importantes — léalas antes de usar el modelo en producción</t>
  </si>
  <si>
    <t>• Los pesos son un punto de partida razonado, no un modelo estadístico ajustado con datos reales de afiliados de Colsubsidio. Deben validarse y recalibrarse con datos históricos de conversión reales en cuanto estén disponibles (ver sección 5).</t>
  </si>
  <si>
    <t>• Varias estadísticas usadas son proxies del mercado general colombiano (Fasecolda, DANE), no específicas de la población afiliada a cajas de compensación, que tiende a concentrarse en trabajadores formales de ingresos bajos y medios — esto se señala explícitamente en la hoja de Fuentes.</t>
  </si>
  <si>
    <t>• El modelo no incluye variables de riesgo médico individual (tabaquismo, enfermedades preexistentes) ni de comportamiento digital (canal de origen, historial de navegación) que Colsubsidio sí podría tener y que mejorarían sustancialmente la precisión.</t>
  </si>
  <si>
    <t>• Este es un motor de reglas ponderadas (explicable y auditable), no un modelo de machine learning. Es la opción correcta para una primera versión en producción: es fácil de mantener, de explicar a un regulador y de trasladar a n8n / Supabase sin infraestructura de ML.</t>
  </si>
  <si>
    <t>5. Preguntas abiertas para validar con Colsubsidio (siguiente paso)</t>
  </si>
  <si>
    <t>1. ¿Qué variables sociodemográficas, laborales y familiares tiene realmente Colsubsidio de sus afiliados (EPS, caja, subsidio familiar) y en qué formato/API se pueden consultar?</t>
  </si>
  <si>
    <t>2. ¿Existen datos históricos de qué seguro cotizó y compró cada perfil de afiliado? Eso permitiría pasar de un motor de reglas a un modelo estadístico/ML calibrado con datos reales.</t>
  </si>
  <si>
    <t>3. ¿Cuál es el nivel de ingreso, estrato y tipo de afiliación (dependiente/independiente) que predomina en la base de afiliados de Colsubsidio? Esto podría cambiar sustancialmente los pesos del modelo.</t>
  </si>
  <si>
    <t>4. Para el 10% de usuarios externos (no afiliados) sin historial, ¿qué datos se les puede pedir en el formulario de autogestión sin fricción (máximo 5-6 preguntas) para alimentar este motor?</t>
  </si>
  <si>
    <t>#</t>
  </si>
  <si>
    <t>Tema</t>
  </si>
  <si>
    <t>Dato / estadística</t>
  </si>
  <si>
    <t>Fuente</t>
  </si>
  <si>
    <t>Fecha / corte</t>
  </si>
  <si>
    <t>Aplicación en el modelo</t>
  </si>
  <si>
    <t>Penetración del seguro</t>
  </si>
  <si>
    <t>La penetración del seguro en Colombia (primas/PIB) cerró 2024 en 3,29%, vs. 6,2% promedio OCDE. El consumo per cápita es de ~$1.065.250 anuales.</t>
  </si>
  <si>
    <t>Fasecolda / La República, feb-2025</t>
  </si>
  <si>
    <t>2024</t>
  </si>
  <si>
    <t>Contexto de mercado; confirma la baja cultura de aseguramiento voluntario que justifica la hiperpersonalización.</t>
  </si>
  <si>
    <t>Informalidad laboral</t>
  </si>
  <si>
    <t>La informalidad laboral nacional se mantiene en 55,4% de la población ocupada (57,8% hombres, 51,9% mujeres); en 13 ciudades principales baja a ~42%.</t>
  </si>
  <si>
    <t>DANE, GEIH, trim. sep-nov 2025</t>
  </si>
  <si>
    <t>2025</t>
  </si>
  <si>
    <t>Peso alto de V3 'Situación laboral = Informal' en accidentes personales y exequial, que son la protección más accesible sin ARL/pensión.</t>
  </si>
  <si>
    <t>Composición de hogares</t>
  </si>
  <si>
    <t>Hogar promedio: 2,86 personas. 51,6% hogares biparentales, 24,3% monoparentales, 19,8% unipersonales. 46,5% de los hogares tiene jefatura femenina, de los cuales 68,8% no tiene pareja.</t>
  </si>
  <si>
    <t>DANE, Encuesta Nacional de Calidad de Vida (ECV) 2024</t>
  </si>
  <si>
    <t>Base de V5 'Composición familiar' y V11 'Jefatura femenina sin pareja' (peso alto en Vida y Exequial).</t>
  </si>
  <si>
    <t>Vivienda: propiedad vs. arriendo</t>
  </si>
  <si>
    <t>40,4% de los hogares vive en arriendo/subarriendo; 36% posee vivienda propia pagada; 3,5% la está pagando.</t>
  </si>
  <si>
    <t>DANE, ECV 2024</t>
  </si>
  <si>
    <t>Base de V6 'Tipo de vivienda' y V7 'Es arrendador' (relevante para Hogar y Arrendamiento).</t>
  </si>
  <si>
    <t>Seguro de vida individual</t>
  </si>
  <si>
    <t>Solo ~16% de la población económicamente activa tiene seguro de vida individual. El consumo per cápita en vida es de ~$370.000/año, penetración 1,14% del PIB.</t>
  </si>
  <si>
    <t>Fasecolda, dic-2024 / Coriesgos</t>
  </si>
  <si>
    <t>Confirma bajo aseguramiento voluntario en Vida; refuerza peso alto para perfiles formales independientes y con hijos.</t>
  </si>
  <si>
    <t>Vida — recomendación de cobertura</t>
  </si>
  <si>
    <t>La recomendación estándar de la industria es asegurar entre 5 y 24 veces el ingreso mensual/anual según compromisos financieros; independientes/freelancers requieren coberturas de $100-200M.</t>
  </si>
  <si>
    <t>HDI Seguros / Coriesgos, 2025-2026</t>
  </si>
  <si>
    <t>Justifica el peso alto de Vida para 'Formal independiente/profesional' (V3) y 'Con hijos menores' (V5).</t>
  </si>
  <si>
    <t>Salud complementaria / medicina prepagada</t>
  </si>
  <si>
    <t>~4,7-4,25 millones de colombianos tienen algún esquema de salud voluntario adicional (prepagada 57%, pólizas de salud 27%, planes complementarios 16%). El régimen contributivo agrupa ~23,2 millones de afiliados.</t>
  </si>
  <si>
    <t>Fasecolda, Acemi, Proesa, 2024</t>
  </si>
  <si>
    <t>Base para V4 'Nivel de ingreso alto' con peso alto en Salud (mayor capacidad de pago de complementarios).</t>
  </si>
  <si>
    <t>Cáncer — incidencia por edad</t>
  </si>
  <si>
    <t>53,2% de los casos de cáncer en hombres y 38,3% en mujeres ocurren en el grupo de 65+ años; 21,7% adicional está entre 55-64 años. ~81.596 casos nuevos y ~40.300 muertes anuales.</t>
  </si>
  <si>
    <t>Instituto Nacional de Cancerología (INC), 2022-2024</t>
  </si>
  <si>
    <t>2022-2024</t>
  </si>
  <si>
    <t>Base cuantitativa directa de los pesos crecientes de 'Diagnóstico de cáncer' en V1 (edad) desde 46 años en adelante.</t>
  </si>
  <si>
    <t>Cáncer — diferencia por sexo</t>
  </si>
  <si>
    <t>Los cánceres más frecuentes: próstata y estómago en hombres; mama y cuello uterino en mujeres. Incidencia similar entre sexos (151-175/100.000).</t>
  </si>
  <si>
    <t>INC / SciELO, estudios de incidencia 2017-2021</t>
  </si>
  <si>
    <t>2017-2021</t>
  </si>
  <si>
    <t>Ajuste de peso por género (V2) en Diagnóstico de cáncer.</t>
  </si>
  <si>
    <t>Exequial</t>
  </si>
  <si>
    <t>47,5% de los hogares colombianos cuenta con alguna póliza exequial (dato agregado, incluye planes funerarios amplios); un estudio específico de seguros fúnebres reporta que solo 2,7% de los hogares (385.000 familias) tiene un seguro fúnebre formal.</t>
  </si>
  <si>
    <t>Superintendencia Financiera / Fasecolda / Banca de las Oportunidades, 2018; La República, 2021</t>
  </si>
  <si>
    <t>2018-2021</t>
  </si>
  <si>
    <t>Estas dos cifras conviven porque miden universos distintos (planes funerarios amplios vs. pólizas fúnebres); ambas sugieren brecha de protección y oportunidad, especialmente en estratos bajos y adultos mayores.</t>
  </si>
  <si>
    <t>Autos y motos — penetración todo riesgo</t>
  </si>
  <si>
    <t>Solo 12,2% del parque automotor colombiano tiene seguro voluntario todo riesgo (27% en carros, apenas 2,8-3% en motos, pese a que las motos son 61-63% del parque).</t>
  </si>
  <si>
    <t>Fasecolda, 2024-2025</t>
  </si>
  <si>
    <t>2024-2025</t>
  </si>
  <si>
    <t>Justifica peso alto en Autos (carro) y peso medio/bajo pero con oportunidad en Moto (V8); motos con mayor accidentalidad también elevan peso en Accidentes personales.</t>
  </si>
  <si>
    <t>Hogar — penetración</t>
  </si>
  <si>
    <t>Solo 9,3% de los hogares colombianos tiene seguro de vivienda voluntario (1,67 millones de hogares asegurados sobre 17,9 millones de viviendas). Más del 70% de las pólizas de hogar están atadas a créditos hipotecarios.</t>
  </si>
  <si>
    <t>Fasecolda / Semana, mar-2026</t>
  </si>
  <si>
    <t>2026</t>
  </si>
  <si>
    <t>Justifica el peso máximo de Hogar para 'vivienda propia financiada' (V6) por la práctica casi obligatoria de asegurar la garantía hipotecaria.</t>
  </si>
  <si>
    <t>Mascotas — tenencia</t>
  </si>
  <si>
    <t>Entre 60% y 70% de los hogares colombianos tiene mascota (65-68% perros, 43-48% gatos); Bogotá y Medellín concentran la mayor tenencia.</t>
  </si>
  <si>
    <t>DANE / Kantar Worldpanel, 2024-2026</t>
  </si>
  <si>
    <t>2024-2026</t>
  </si>
  <si>
    <t>Base de V9 'Tiene mascota' con peso máximo en Mascotas.</t>
  </si>
  <si>
    <t>Mascotas — perfil comprador</t>
  </si>
  <si>
    <t>El mercado de seguros de mascotas crece 40% anual; el cliente típico de Seguros SURA tiene entre 30 y 50 años, y 76% son mujeres.</t>
  </si>
  <si>
    <t>Seguros SURA / Semana, ago-2024</t>
  </si>
  <si>
    <t>Justifica el peso alto en V1 'Edad 26-45' y V2 'Género femenino' para Mascotas — coincide con el ICP de Seggu (mujeres, familias con mascotas) y el enfoque de soycaropinzón.</t>
  </si>
  <si>
    <t>Bicicletas — hurto e inseguridad</t>
  </si>
  <si>
    <t>En ciudades como Bogotá se hurta una bicicleta cada 2,5 horas en promedio (cifras 2025); el fenómeno afecta especialmente a jóvenes usuarios urbanos.</t>
  </si>
  <si>
    <t>Secretaría de Seguridad de Bogotá / SIEDCO, 2024-2026</t>
  </si>
  <si>
    <t>Justifica peso alto de Bicicletas en V1 'Edad 18-25/26-35' y V10 'Usa bicicleta como transporte'.</t>
  </si>
  <si>
    <t>Arrendamiento — mercado</t>
  </si>
  <si>
    <t>El costo de un seguro de arrendamiento equivale típicamente a 40-75% de un canon mensual; en Bogotá 1 de cada 4 contratos de arriendo termina en algún conflicto económico entre propietario e inquilino.</t>
  </si>
  <si>
    <t>Coriesgos / Inmobiliare Latam, 2026</t>
  </si>
  <si>
    <t>Justifica peso máximo de Arrendamiento para V7 'Es propietario que arrienda a terceros'.</t>
  </si>
  <si>
    <t>Estratos y niveles de ingreso</t>
  </si>
  <si>
    <t>Clasificación DANE 2024-2025: pobreza &lt;$435.375/persona/mes; vulnerable $435.375-$853.608; clase media $853.608-$4.596.352 (32,4-34,4% de la población); clase alta &gt;$4.596.352 (3,1-3,3%).</t>
  </si>
  <si>
    <t>DANE, cálculos GEIH 2024</t>
  </si>
  <si>
    <t>Base de los 3 niveles de V4 'Nivel de ingreso' (Bajo/Medio/Alto) usados en todo el modelo.</t>
  </si>
  <si>
    <t>Determinantes de acceso a seguros</t>
  </si>
  <si>
    <t>La probabilidad de tener un seguro aumenta con el tamaño del hogar, el estrato, la edad (no lineal), tener vivienda propia, negocio, ahorros o crédito, y nivel educativo técnico/tecnológico o superior.</t>
  </si>
  <si>
    <t>Superintendencia Financiera, Banca de las Oportunidades y Fasecolda, 'Primer Estudio de Demanda de Seguros en Colombia'</t>
  </si>
  <si>
    <t>2018 (referencia académica vigente)</t>
  </si>
  <si>
    <t>Confirma la lógica general de correlación positiva entre estabilidad financiera/vivienda propia y probabilidad de compra usada en todo el modelo.</t>
  </si>
  <si>
    <t>Nota metodológica sobre representatividad de la caja de compensación</t>
  </si>
  <si>
    <t>Colsubsidio afilia principalmente a trabajadores dependientes formales (cotizantes de caja de compensación) y sus familias, un segmento con mayor formalidad relativa que el promedio nacional (55,4% de informalidad).</t>
  </si>
  <si>
    <t>Supuesto de trabajo — Colsubsidio no publica esta segmentación específica públicamente</t>
  </si>
  <si>
    <t>N/A</t>
  </si>
  <si>
    <t>Advertencia: el peso relativo de 'Formal dependiente' probablemente deba subir una vez se valide con datos reales de la base de afiliados de Colsubsidio (ver pregunta 3 de la Guía).</t>
  </si>
  <si>
    <t>Variables de segmentación del motor de scoring (11 variables)</t>
  </si>
  <si>
    <t>Código</t>
  </si>
  <si>
    <t>Variable</t>
  </si>
  <si>
    <t>Categorías posibles</t>
  </si>
  <si>
    <t>Fuente / racional resumido</t>
  </si>
  <si>
    <t>V1 - Rango de edad</t>
  </si>
  <si>
    <t>V2 - Género</t>
  </si>
  <si>
    <t>V3 - Situación laboral</t>
  </si>
  <si>
    <t>V4 - Nivel de ingreso mensual</t>
  </si>
  <si>
    <t>V5 - Composición familiar</t>
  </si>
  <si>
    <t>V6 - Tipo de vivienda</t>
  </si>
  <si>
    <t>V7 - ¿Es propietario que arrienda un inmueble a terceros?</t>
  </si>
  <si>
    <t>V8 - Tenencia de vehículo</t>
  </si>
  <si>
    <t>V9 - ¿Tiene mascota (perro o gato)?</t>
  </si>
  <si>
    <t>V10 - ¿Usa bicicleta como transporte o deporte habitual?</t>
  </si>
  <si>
    <t>V11 - ¿Es jefatura de hogar femenina sin pareja?</t>
  </si>
  <si>
    <t>V1</t>
  </si>
  <si>
    <t>Rango de edad</t>
  </si>
  <si>
    <t>18-25 años | 26-35 años | 36-45 años | 46-55 años | 56-65 años | 66+ años</t>
  </si>
  <si>
    <t>DANE (composición etaria), INC (incidencia de cáncer por edad), Fasecolda (perfil comprador vida y autos).</t>
  </si>
  <si>
    <t>18-25 años</t>
  </si>
  <si>
    <t>Masculino</t>
  </si>
  <si>
    <t>Formal dependiente</t>
  </si>
  <si>
    <t>Bajo (&lt; $1.3M)</t>
  </si>
  <si>
    <t>Soltero(a) sin hijos</t>
  </si>
  <si>
    <t>Propia pagada</t>
  </si>
  <si>
    <t>Sí</t>
  </si>
  <si>
    <t>Carro</t>
  </si>
  <si>
    <t>V2</t>
  </si>
  <si>
    <t>Género</t>
  </si>
  <si>
    <t>Masculino | Femenino</t>
  </si>
  <si>
    <t>DANE (jefatura femenina de hogar), INC (cáncer por sexo), SURA (76% clientes de seguros de mascotas son mujeres).</t>
  </si>
  <si>
    <t>26-35 años</t>
  </si>
  <si>
    <t>Femenino</t>
  </si>
  <si>
    <t>Formal independiente / profesional</t>
  </si>
  <si>
    <t>Medio ($1.3M - $4.6M)</t>
  </si>
  <si>
    <t>Pareja sin hijos</t>
  </si>
  <si>
    <t>Propia financiada (hipoteca)</t>
  </si>
  <si>
    <t>No</t>
  </si>
  <si>
    <t>Moto</t>
  </si>
  <si>
    <t>V3</t>
  </si>
  <si>
    <t>Situación laboral</t>
  </si>
  <si>
    <t>Formal dependiente | Formal independiente / profesional | Informal / cuenta propia sin cotización</t>
  </si>
  <si>
    <t>DANE (informalidad 55,4%), Fasecolda (vida individual en independientes/freelancers).</t>
  </si>
  <si>
    <t>36-45 años</t>
  </si>
  <si>
    <t>Informal / cuenta propia sin cotización</t>
  </si>
  <si>
    <t>Alto (&gt; $4.6M)</t>
  </si>
  <si>
    <t>Con hijos menores de edad</t>
  </si>
  <si>
    <t>Arrendada</t>
  </si>
  <si>
    <t>No tiene</t>
  </si>
  <si>
    <t>V4</t>
  </si>
  <si>
    <t>Nivel de ingreso mensual</t>
  </si>
  <si>
    <t>Bajo (&lt; $1.3M) | Medio ($1.3M - $4.6M) | Alto (&gt; $4.6M)</t>
  </si>
  <si>
    <t>DANE (umbrales de clase social 2024), Fasecolda (consumo per cápita en seguros).</t>
  </si>
  <si>
    <t>46-55 años</t>
  </si>
  <si>
    <t>Monoparental con hijos</t>
  </si>
  <si>
    <t>V5</t>
  </si>
  <si>
    <t>Composición familiar</t>
  </si>
  <si>
    <t>Soltero(a) sin hijos | Pareja sin hijos | Con hijos menores de edad | Monoparental con hijos | Multigeneracional / adulto mayor a cargo</t>
  </si>
  <si>
    <t>DANE ECV 2024 (51,6% biparental, 24,3% monoparental, 19,8% unipersonal).</t>
  </si>
  <si>
    <t>56-65 años</t>
  </si>
  <si>
    <t>Multigeneracional / adulto mayor a cargo</t>
  </si>
  <si>
    <t>V6</t>
  </si>
  <si>
    <t>Tipo de vivienda</t>
  </si>
  <si>
    <t>Propia pagada | Propia financiada (hipoteca) | Arrendada</t>
  </si>
  <si>
    <t>DANE ECV 2024 (40,4% en arriendo, 36% propia pagada); Fasecolda (70%+ pólizas de hogar atadas a hipoteca).</t>
  </si>
  <si>
    <t>66+ años</t>
  </si>
  <si>
    <t>V7</t>
  </si>
  <si>
    <t>¿Es propietario que arrienda un inmueble a terceros?</t>
  </si>
  <si>
    <t>Sí | No</t>
  </si>
  <si>
    <t>Mercado de seguros de arrendamiento (Coriesgos, Fasecolda) — variable binaria de oportunidad de venta cruzada.</t>
  </si>
  <si>
    <t>V8</t>
  </si>
  <si>
    <t>Tenencia de vehículo</t>
  </si>
  <si>
    <t>Carro | Moto | No tiene</t>
  </si>
  <si>
    <t>Fasecolda (12,2% parque automotor con todo riesgo; motos solo 2,8-3% pese a ser 61-63% del parque).</t>
  </si>
  <si>
    <t>V9</t>
  </si>
  <si>
    <t>¿Tiene mascota (perro o gato)?</t>
  </si>
  <si>
    <t>DANE / Kantar (60-70% de hogares colombianos tiene mascota).</t>
  </si>
  <si>
    <t>V10</t>
  </si>
  <si>
    <t>¿Usa bicicleta como transporte o deporte habitual?</t>
  </si>
  <si>
    <t>Secretaría de Seguridad de Bogotá (hurto de bicicletas cada 2,5 horas en 2025).</t>
  </si>
  <si>
    <t>V11</t>
  </si>
  <si>
    <t>¿Es jefatura de hogar femenina sin pareja?</t>
  </si>
  <si>
    <t>DANE ECV 2024 (46,5% jefatura femenina, 68,8% de ellas sin pareja) — foco especial del ICP de soycaropinzón.</t>
  </si>
  <si>
    <t>Matriz de Pesos — Motor de reglas (0 = sin relevancia, 5 = máxima prioridad)</t>
  </si>
  <si>
    <t>Familia</t>
  </si>
  <si>
    <t>Patrimonio</t>
  </si>
  <si>
    <t>Clave (uso interno)</t>
  </si>
  <si>
    <t>Categoría</t>
  </si>
  <si>
    <t>Vida</t>
  </si>
  <si>
    <t>Accidentes personales</t>
  </si>
  <si>
    <t>Renta por hospitalización</t>
  </si>
  <si>
    <t>Diagnóstico positivo de cáncer</t>
  </si>
  <si>
    <t>Póliza de salud</t>
  </si>
  <si>
    <t>Exequial familiar</t>
  </si>
  <si>
    <t>Seguro de mascotas</t>
  </si>
  <si>
    <t>Todo riesgo autos y motos</t>
  </si>
  <si>
    <t>Todo riesgo hogar</t>
  </si>
  <si>
    <t>Bicicletas</t>
  </si>
  <si>
    <t>Arrendamiento</t>
  </si>
  <si>
    <t>Racional / fuente resumida</t>
  </si>
  <si>
    <t>V1|18-25 años</t>
  </si>
  <si>
    <t>Prioridad en bicicleta y mascota (perfil joven urbano); vida y cáncer casi irrelevantes a esta edad.</t>
  </si>
  <si>
    <t>V1|26-35 años</t>
  </si>
  <si>
    <t>Edad pico de tenencia de mascota (30-50 años, SURA) y de arriendo (DANE); comienza a evaluar vida y autos.</t>
  </si>
  <si>
    <t>V1|36-45 años</t>
  </si>
  <si>
    <t>Pico de compra de vivienda y auto propio; arranca la lógica HLV/DIME de vida por responsabilidades familiares.</t>
  </si>
  <si>
    <t>V1|46-55 años</t>
  </si>
  <si>
    <t>El 21,7% de casos de cáncer ocurre en 55-64 años, por lo que el riesgo ya es relevante desde los 46; renta por hospitalización sube.</t>
  </si>
  <si>
    <t>V1|56-65 años</t>
  </si>
  <si>
    <t>Cáncer e renta hospitalización en niveles altos; exequial empieza a ganar peso.</t>
  </si>
  <si>
    <t>V1|66+ años</t>
  </si>
  <si>
    <t>53,2% de los casos de cáncer en hombres ocurre en 65+ años (INC); exequial es prioridad máxima; vida ya no es asegurable/rentable a esta edad.</t>
  </si>
  <si>
    <t>V2|Masculino</t>
  </si>
  <si>
    <t>Mayor peso relativo en autos/motos y cáncer de próstata/estómago.</t>
  </si>
  <si>
    <t>V2|Femenino</t>
  </si>
  <si>
    <t>76% de clientes de seguros de mascotas son mujeres (SURA); mayor probabilidad de jefatura de hogar; cáncer de mama/cuello uterino.</t>
  </si>
  <si>
    <t>V3|Formal dependiente</t>
  </si>
  <si>
    <t>Ya cuenta con EPS, ARL y pensión vía empleador; prioridad en complementarios (salud, autos, hogar) por mayor estabilidad de ingreso.</t>
  </si>
  <si>
    <t>V3|Formal independiente / profesional</t>
  </si>
  <si>
    <t>Sin seguro de vida grupal empresarial ni ARL automática; el 84% de la PEA no tiene vida individual (Fasecolda).</t>
  </si>
  <si>
    <t>V3|Informal / cuenta propia sin cotización</t>
  </si>
  <si>
    <t>55,4% de la población ocupada (DANE); sin ARL ni pensión, accidentes personales y exequial son la protección más urgente y accesible.</t>
  </si>
  <si>
    <t>V4|Bajo (&lt; $1.3M)</t>
  </si>
  <si>
    <t>Capacidad de pago limitada a productos de prima baja; exequial tiene fuerte arraigo cultural en estratos bajos (47,5% de hogares con algún esquema).</t>
  </si>
  <si>
    <t>V4|Medio ($1.3M - $4.6M)</t>
  </si>
  <si>
    <t>Segmento de clase media (32-34% de la población, DANE); es el ICP principal de Seggu (familias con carro).</t>
  </si>
  <si>
    <t>V4|Alto (&gt; $4.6M)</t>
  </si>
  <si>
    <t>Mayor probabilidad de vivienda y vehículo propios; foco en salud complementaria/prepagada y patrimonio.</t>
  </si>
  <si>
    <t>V5|Soltero(a) sin hijos</t>
  </si>
  <si>
    <t>Sin dependientes económicos; prioridad en mascota, bicicleta y accidentes personales sobre vida.</t>
  </si>
  <si>
    <t>V5|Pareja sin hijos</t>
  </si>
  <si>
    <t>Enfoque en patrimonio compartido (hogar, auto) y mascota.</t>
  </si>
  <si>
    <t>V5|Con hijos menores de edad</t>
  </si>
  <si>
    <t>Máxima prioridad en vida y salud familiar (lógica HLV/DIME); también sube renta por hospitalización.</t>
  </si>
  <si>
    <t>V5|Monoparental con hijos</t>
  </si>
  <si>
    <t>24,3% de los hogares (DANE); jefe de hogar es el único proveedor, por lo que vida y exequial son críticos.</t>
  </si>
  <si>
    <t>V5|Multigeneracional / adulto mayor a cargo</t>
  </si>
  <si>
    <t>Mayor probabilidad de necesitar renta por hospitalización, diagnóstico de cáncer y exequial para el adulto mayor.</t>
  </si>
  <si>
    <t>V6|Propia pagada</t>
  </si>
  <si>
    <t>Activo ya consolidado sin deuda; el seguro de hogar es 100% decisión voluntaria de protección patrimonial.</t>
  </si>
  <si>
    <t>V6|Propia financiada (hipoteca)</t>
  </si>
  <si>
    <t>Más del 70% de las pólizas de hogar están atadas a créditos hipotecarios (Fasecolda) — casi obligatorio en la práctica.</t>
  </si>
  <si>
    <t>V6|Arrendada</t>
  </si>
  <si>
    <t>Menor necesidad de seguro de hogar (activo no propio); puede necesitar seguro de contenidos básico.</t>
  </si>
  <si>
    <t>V7|Sí</t>
  </si>
  <si>
    <t>Variable binaria de oportunidad de venta cruzada específica (arrendamiento a terceros).</t>
  </si>
  <si>
    <t>V7|No</t>
  </si>
  <si>
    <t>Sin relevancia en esta variable.</t>
  </si>
  <si>
    <t>V8|Carro</t>
  </si>
  <si>
    <t>Solo 12,2% del parque automotor tiene todo riesgo voluntario (Fasecolda) — alta oportunidad para el segmento con carro.</t>
  </si>
  <si>
    <t>V8|Moto</t>
  </si>
  <si>
    <t>Las motos son 61-63% del parque automotor pero solo 2,8-3% tiene todo riesgo — gran brecha; mayor accidentalidad también sube accidentes personales.</t>
  </si>
  <si>
    <t>V8|No tiene</t>
  </si>
  <si>
    <t>Sin relevancia para productos de vehículo.</t>
  </si>
  <si>
    <t>V9|Sí</t>
  </si>
  <si>
    <t>V9|No</t>
  </si>
  <si>
    <t>V10|Sí</t>
  </si>
  <si>
    <t>V10|No</t>
  </si>
  <si>
    <t>V11|Sí</t>
  </si>
  <si>
    <t>V11|No</t>
  </si>
  <si>
    <t>PUNTAJE MÁXIMO TEÓRICO</t>
  </si>
  <si>
    <t>Motor de Scoring — Simulador de perfil</t>
  </si>
  <si>
    <t>Selecciona un perfil en la columna amarilla y el ranking de seguros sugeridos se calcula automáticamente.</t>
  </si>
  <si>
    <t>Tu selección</t>
  </si>
  <si>
    <t>Detalle de puntaje por variable y producto</t>
  </si>
  <si>
    <t>PUNTAJE TOTAL</t>
  </si>
  <si>
    <t>Ranking de seguros sugeridos para este perfil</t>
  </si>
  <si>
    <t>Ranking</t>
  </si>
  <si>
    <t>Seguro</t>
  </si>
  <si>
    <t>Línea</t>
  </si>
  <si>
    <t>Puntaje</t>
  </si>
  <si>
    <t>Puntaje máximo</t>
  </si>
  <si>
    <t>% del máximo</t>
  </si>
  <si>
    <t>Top 3 sugerido para este perfil</t>
  </si>
  <si>
    <t>#1</t>
  </si>
  <si>
    <t>#2</t>
  </si>
  <si>
    <t>#3</t>
  </si>
  <si>
    <t>Ficha de estadísticas de mercado por seguro (Colombia)</t>
  </si>
  <si>
    <t>Estadística clave de mercado</t>
  </si>
  <si>
    <t>Perfil con mayor probabilidad de compra</t>
  </si>
  <si>
    <t>Solo ~16% de la Población Económicamente Activa tiene seguro de vida individual. Penetración del ramo Vida: 1,14% del PIB. Consumo per cápita: ~$370.000/año.</t>
  </si>
  <si>
    <t>Perfil formal independiente/profesional sin seguro grupal empresarial; adultos 36-55 años con hijos menores (lógica HLV/DIME); jefatura de hogar femenina sin pareja.</t>
  </si>
  <si>
    <t>Fasecolda, dic-2024; Coriesgos, 2026</t>
  </si>
  <si>
    <t>Sin cifra agregada específica publicada por Fasecolda; se infiere del 55,4% de informalidad laboral (sin cobertura ARL) y de la alta accidentalidad de motociclistas (61-63% del parque, mayor siniestralidad vial).</t>
  </si>
  <si>
    <t>Trabajadores informales/cuenta propia sin ARL; conductores de moto; jóvenes 18-35 con actividades de riesgo (bicicleta, deporte).</t>
  </si>
  <si>
    <t>DANE, GEIH 2025; Fasecolda, 2024-2025</t>
  </si>
  <si>
    <t>Sin cifra de penetración específica publicada; producto típicamente ofrecido como anexo de vida o salud. Relevancia creciente con la edad por mayor probabilidad de hospitalización.</t>
  </si>
  <si>
    <t>Adultos 46-65+ años; hogares multigeneracionales con adulto mayor a cargo; independientes sin incapacidad pagada por EPS/empleador.</t>
  </si>
  <si>
    <t>Fasecolda — FAQ Vida y Personas, 2025</t>
  </si>
  <si>
    <t>~81.596 casos nuevos y ~40.300 muertes por cáncer al año en Colombia. 53,2% de los casos en hombres y 38,3% en mujeres ocurren en 65+ años; 21,7% adicional en 55-64 años.</t>
  </si>
  <si>
    <t>Adultos desde 46 años en adelante, con pico en 56-65+; diferenciación por sexo (próstata/estómago en hombres, mama/cuello uterino en mujeres).</t>
  </si>
  <si>
    <t>~4,25 millones de colombianos con algún esquema de salud voluntario (prepagada 51,8%, seguros de salud 31,9%, planes complementarios ~12%). El segmento de seguros de salud crece 14% anual, el más rápido de los cuatro.</t>
  </si>
  <si>
    <t>Clase media y alta (ingreso &gt; $1.3M); formal dependiente e independiente; familias con hijos menores que buscan complementar el régimen contributivo.</t>
  </si>
  <si>
    <t>Fasecolda, Acemi, Proesa, 2024-2025</t>
  </si>
  <si>
    <t>47,5% de los hogares tiene algún esquema de protección exequial (dato agregado, incluye planes funerarios amplios de comercializadoras); un estudio específico de pólizas fúnebres formales del sector asegurador reporta apenas 2,7% de los hogares (~385.000 familias).</t>
  </si>
  <si>
    <t>Estratos 1-3 (fuerte arraigo cultural); adultos mayores y hogares multigeneracionales; trabajadores informales sin otra protección.</t>
  </si>
  <si>
    <t>60-70% de los hogares colombianos tiene mascota (65-68% perro, 43-48% gato). El mercado de seguros de mascotas crece 40% anual; cliente típico SURA: 30-50 años, 76% mujeres.</t>
  </si>
  <si>
    <t>Mujeres 26-50 años con mascota; familias de clase media y alta; fuerte alineación con el ICP de soycaropinzón (mujeres, decisiones inteligentes).</t>
  </si>
  <si>
    <t>DANE / Kantar Worldpanel, 2024-2026; Seguros SURA, ago-2024</t>
  </si>
  <si>
    <t>Solo 12,2% del parque automotor tiene seguro voluntario todo riesgo (27% en carros, 2,8-3% en motos, pese a que las motos son 61-63% del parque de 21,3 millones de vehículos).</t>
  </si>
  <si>
    <t>Propietarios de carro (alta prioridad); propietarios de moto (gran oportunidad sub-penetrada); estrato medio-alto.</t>
  </si>
  <si>
    <t>Solo 9,3% de los hogares tiene seguro de vivienda voluntario (1,67 millones de 17,9 millones de hogares). Más del 70% de las pólizas de hogar están atadas a crédito hipotecario.</t>
  </si>
  <si>
    <t>Propietarios con vivienda financiada (casi obligatorio en la práctica); propietarios con vivienda pagada de estrato medio-alto.</t>
  </si>
  <si>
    <t>En Bogotá se hurta una bicicleta cada 2,5 horas en promedio (2025); tendencia a la baja interanual pero sigue siendo uno de los 10 bienes más hurtados de la ciudad.</t>
  </si>
  <si>
    <t>Usuarios habituales de bicicleta como transporte o deporte, especialmente 18-35 años en grandes ciudades.</t>
  </si>
  <si>
    <t>El costo de un seguro de arrendamiento equivale a 40-75% de un canon mensual; en Bogotá 1 de cada 4 contratos de arriendo termina en conflicto económico entre propietario e inquilino.</t>
  </si>
  <si>
    <t>Propietarios que arriendan un inmueble a terceros (variable de oportunidad de venta cruzada específica, no depende de la edad ni composición familiar del propietario).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</si>
</sst>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charset val="1"/>
    </font>
    <font>
      <b/>
      <sz val="16"/>
      <color rgb="FFFFFFFF"/>
      <name val="Arial"/>
      <charset val="1"/>
    </font>
    <font>
      <i/>
      <sz val="11"/>
      <color rgb="FFFFFFFF"/>
      <name val="Arial"/>
      <charset val="1"/>
    </font>
    <font>
      <b/>
      <sz val="13"/>
      <color rgb="FF1F3864"/>
      <name val="Arial"/>
      <charset val="1"/>
    </font>
    <font>
      <sz val="10"/>
      <color rgb="FF000000"/>
      <name val="Arial"/>
      <charset val="1"/>
    </font>
    <font>
      <b/>
      <sz val="10"/>
      <color rgb="FFFFFFFF"/>
      <name val="Arial"/>
      <charset val="1"/>
    </font>
    <font>
      <b/>
      <sz val="9"/>
      <name val="Arial"/>
      <charset val="1"/>
    </font>
    <font>
      <b/>
      <sz val="10"/>
      <name val="Arial"/>
      <charset val="1"/>
    </font>
    <font>
      <b/>
      <i/>
      <sz val="9"/>
      <color rgb="FF1F3864"/>
      <name val="Arial"/>
      <charset val="1"/>
    </font>
    <font>
      <b/>
      <sz val="9"/>
      <color rgb="FFFFFFFF"/>
      <name val="Arial"/>
      <charset val="1"/>
    </font>
    <font>
      <sz val="8"/>
      <color rgb="FF808080"/>
      <name val="Arial"/>
      <charset val="1"/>
    </font>
    <font>
      <b/>
      <sz val="8"/>
      <name val="Arial"/>
      <charset val="1"/>
    </font>
    <font>
      <sz val="8"/>
      <name val="Arial"/>
      <charset val="1"/>
    </font>
    <font>
      <i/>
      <sz val="10"/>
      <name val="Arial"/>
      <charset val="1"/>
    </font>
    <font>
      <sz val="9"/>
      <color rgb="FF808080"/>
      <name val="Arial"/>
      <charset val="1"/>
    </font>
    <font>
      <b/>
      <sz val="11"/>
      <color rgb="FF1F3864"/>
      <name val="Arial"/>
      <charset val="1"/>
    </font>
    <font>
      <sz val="9"/>
      <name val="Arial"/>
      <charset val="1"/>
    </font>
    <font>
      <i/>
      <sz val="9"/>
      <name val="Arial"/>
      <charset val="1"/>
    </font>
  </fonts>
  <fills count="9">
    <fill>
      <patternFill patternType="none"/>
    </fill>
    <fill>
      <patternFill patternType="gray125"/>
    </fill>
    <fill>
      <patternFill patternType="solid">
        <fgColor rgb="FF1F3864"/>
        <bgColor rgb="FF333333"/>
      </patternFill>
    </fill>
    <fill>
      <patternFill patternType="solid">
        <fgColor rgb="FFFCE4D6"/>
        <bgColor rgb="FFFFF2CC"/>
      </patternFill>
    </fill>
    <fill>
      <patternFill patternType="solid">
        <fgColor rgb="FFDDEBF7"/>
        <bgColor rgb="FFD9E2F3"/>
      </patternFill>
    </fill>
    <fill>
      <patternFill patternType="solid">
        <fgColor rgb="FFD9E2F3"/>
        <bgColor rgb="FFDDEBF7"/>
      </patternFill>
    </fill>
    <fill>
      <patternFill patternType="solid">
        <fgColor rgb="FFBDD7EE"/>
        <bgColor rgb="FFD9E2F3"/>
      </patternFill>
    </fill>
    <fill>
      <patternFill patternType="solid">
        <fgColor rgb="FFFFF2CC"/>
        <bgColor rgb="FFFCE4D6"/>
      </patternFill>
    </fill>
    <fill>
      <patternFill patternType="solid">
        <fgColor rgb="FFE2EFDA"/>
        <bgColor rgb="FFDDEB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41">
    <xf numFmtId="0" fontId="0" fillId="0" borderId="0" xfId="0"/>
    <xf numFmtId="0" fontId="15" fillId="8" borderId="0" xfId="0" applyFont="1" applyFill="1" applyBorder="1" applyAlignment="1"/>
    <xf numFmtId="0" fontId="15" fillId="0" borderId="0" xfId="0" applyFont="1" applyBorder="1" applyAlignment="1"/>
    <xf numFmtId="0" fontId="13" fillId="0" borderId="0" xfId="0" applyFont="1" applyBorder="1" applyAlignment="1"/>
    <xf numFmtId="0" fontId="7" fillId="0" borderId="0" xfId="0" applyFont="1" applyBorder="1" applyAlignment="1"/>
    <xf numFmtId="0" fontId="3" fillId="0" borderId="0" xfId="0" applyFont="1" applyBorder="1" applyAlignment="1"/>
    <xf numFmtId="0" fontId="2" fillId="2" borderId="0" xfId="0" applyFont="1" applyFill="1" applyBorder="1" applyAlignment="1"/>
    <xf numFmtId="0" fontId="1" fillId="2" borderId="0" xfId="0" applyFont="1" applyFill="1" applyBorder="1" applyAlignment="1">
      <alignment horizontal="left" vertical="center" indent="1"/>
    </xf>
    <xf numFmtId="0" fontId="0" fillId="0" borderId="0" xfId="0" applyAlignment="1"/>
    <xf numFmtId="0" fontId="3" fillId="0" borderId="0" xfId="0" applyFont="1" applyAlignme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0" borderId="1" xfId="0" applyFont="1" applyBorder="1" applyAlignment="1">
      <alignment vertical="top" wrapText="1"/>
    </xf>
    <xf numFmtId="0" fontId="6" fillId="0" borderId="0" xfId="0" applyFont="1" applyAlignment="1"/>
    <xf numFmtId="0" fontId="4" fillId="0" borderId="1" xfId="0" applyFont="1" applyBorder="1" applyAlignment="1">
      <alignment vertical="center"/>
    </xf>
    <xf numFmtId="0" fontId="7" fillId="0" borderId="1" xfId="0" applyFont="1" applyBorder="1" applyAlignment="1">
      <alignment vertical="center"/>
    </xf>
    <xf numFmtId="0" fontId="4" fillId="0" borderId="1" xfId="0" applyFont="1" applyBorder="1" applyAlignment="1">
      <alignment horizontal="left" vertical="center" wrapText="1"/>
    </xf>
    <xf numFmtId="0" fontId="4" fillId="0" borderId="0" xfId="0" applyFont="1" applyAlignment="1"/>
    <xf numFmtId="0" fontId="8" fillId="3" borderId="0" xfId="0" applyFont="1" applyFill="1" applyAlignment="1">
      <alignment horizontal="center" vertical="center" wrapText="1"/>
    </xf>
    <xf numFmtId="0" fontId="8" fillId="4" borderId="0" xfId="0" applyFont="1" applyFill="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Border="1" applyAlignment="1"/>
    <xf numFmtId="0" fontId="11" fillId="5" borderId="1" xfId="0" applyFont="1" applyFill="1" applyBorder="1" applyAlignment="1">
      <alignment horizontal="left"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12" fillId="0" borderId="1" xfId="0" applyFont="1" applyBorder="1" applyAlignment="1">
      <alignment horizontal="left" vertical="center" wrapText="1"/>
    </xf>
    <xf numFmtId="0" fontId="11" fillId="0" borderId="1" xfId="0" applyFont="1" applyBorder="1" applyAlignment="1">
      <alignment horizontal="left" vertical="center" wrapText="1"/>
    </xf>
    <xf numFmtId="0" fontId="7" fillId="6" borderId="1" xfId="0" applyFont="1" applyFill="1" applyBorder="1" applyAlignment="1">
      <alignment horizontal="center" vertical="center" wrapText="1"/>
    </xf>
    <xf numFmtId="0" fontId="4" fillId="0" borderId="1" xfId="0" applyFont="1" applyBorder="1" applyAlignment="1"/>
    <xf numFmtId="0" fontId="7" fillId="7"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6" fillId="0" borderId="0" xfId="0" applyFont="1" applyAlignment="1">
      <alignment horizontal="left" vertical="center" wrapText="1"/>
    </xf>
    <xf numFmtId="0" fontId="7" fillId="0" borderId="0" xfId="0" applyFont="1" applyAlignment="1"/>
    <xf numFmtId="0" fontId="0" fillId="0" borderId="1" xfId="0" applyBorder="1" applyAlignment="1">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0" fontId="4" fillId="4" borderId="1" xfId="0" applyFont="1" applyFill="1" applyBorder="1" applyAlignment="1">
      <alignment horizontal="center" vertical="center" wrapText="1"/>
    </xf>
    <xf numFmtId="0" fontId="7" fillId="0" borderId="1" xfId="0" applyFont="1" applyBorder="1" applyAlignment="1"/>
    <xf numFmtId="0" fontId="4" fillId="0" borderId="1" xfId="0" applyFont="1" applyBorder="1" applyAlignment="1">
      <alignment horizontal="left" vertical="top" wrapText="1"/>
    </xf>
    <xf numFmtId="0" fontId="17" fillId="0" borderId="1" xfId="0" applyFont="1" applyBorder="1" applyAlignment="1">
      <alignment horizontal="left" vertical="top" wrapText="1"/>
    </xf>
  </cellXfs>
  <cellStyles count="1">
    <cellStyle name="Normal" xfId="0" builtinId="0"/>
  </cellStyles>
  <dxfs count="1">
    <dxf>
      <fill>
        <patternFill>
          <bgColor rgb="FFFFD96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E2F3"/>
      <rgbColor rgb="FFE2EFDA"/>
      <rgbColor rgb="FFFCE4D6"/>
      <rgbColor rgb="FF99CCFF"/>
      <rgbColor rgb="FFFF99CC"/>
      <rgbColor rgb="FFCC99FF"/>
      <rgbColor rgb="FFFFD96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showGridLines="0" topLeftCell="A7" zoomScaleNormal="100" workbookViewId="0">
      <selection sqref="A1:B1"/>
    </sheetView>
  </sheetViews>
  <sheetFormatPr baseColWidth="10" defaultColWidth="8.6640625" defaultRowHeight="14.4" x14ac:dyDescent="0.3"/>
  <cols>
    <col min="1" max="1" width="3" style="8" customWidth="1"/>
    <col min="2" max="2" width="100" style="8" customWidth="1"/>
  </cols>
  <sheetData>
    <row r="1" spans="1:2" ht="33.75" customHeight="1" x14ac:dyDescent="0.3">
      <c r="A1" s="7" t="s">
        <v>0</v>
      </c>
      <c r="B1" s="7"/>
    </row>
    <row r="2" spans="1:2" ht="19.5" customHeight="1" x14ac:dyDescent="0.3">
      <c r="A2" s="6" t="s">
        <v>1</v>
      </c>
      <c r="B2" s="6"/>
    </row>
    <row r="4" spans="1:2" ht="15.75" customHeight="1" x14ac:dyDescent="0.3">
      <c r="B4" s="9" t="s">
        <v>2</v>
      </c>
    </row>
    <row r="5" spans="1:2" ht="23.25" customHeight="1" x14ac:dyDescent="0.3">
      <c r="B5" s="10" t="s">
        <v>3</v>
      </c>
    </row>
    <row r="6" spans="1:2" ht="57" customHeight="1" x14ac:dyDescent="0.3">
      <c r="B6" s="10" t="s">
        <v>4</v>
      </c>
    </row>
    <row r="8" spans="1:2" ht="15.75" customHeight="1" x14ac:dyDescent="0.3">
      <c r="B8" s="9" t="s">
        <v>5</v>
      </c>
    </row>
    <row r="9" spans="1:2" ht="15" customHeight="1" x14ac:dyDescent="0.3">
      <c r="B9" s="10" t="s">
        <v>6</v>
      </c>
    </row>
    <row r="10" spans="1:2" ht="15" customHeight="1" x14ac:dyDescent="0.3">
      <c r="B10" s="10" t="s">
        <v>7</v>
      </c>
    </row>
    <row r="11" spans="1:2" ht="15" customHeight="1" x14ac:dyDescent="0.3">
      <c r="B11" s="10" t="s">
        <v>8</v>
      </c>
    </row>
    <row r="12" spans="1:2" ht="23.25" customHeight="1" x14ac:dyDescent="0.3">
      <c r="B12" s="10" t="s">
        <v>9</v>
      </c>
    </row>
    <row r="13" spans="1:2" ht="23.25" customHeight="1" x14ac:dyDescent="0.3">
      <c r="B13" s="10" t="s">
        <v>10</v>
      </c>
    </row>
    <row r="14" spans="1:2" ht="15" customHeight="1" x14ac:dyDescent="0.3">
      <c r="B14" s="10" t="s">
        <v>11</v>
      </c>
    </row>
    <row r="16" spans="1:2" ht="15.75" customHeight="1" x14ac:dyDescent="0.3">
      <c r="B16" s="9" t="s">
        <v>12</v>
      </c>
    </row>
    <row r="17" spans="2:2" ht="23.25" customHeight="1" x14ac:dyDescent="0.3">
      <c r="B17" s="10" t="s">
        <v>13</v>
      </c>
    </row>
    <row r="18" spans="2:2" ht="34.5" customHeight="1" x14ac:dyDescent="0.3">
      <c r="B18" s="10" t="s">
        <v>14</v>
      </c>
    </row>
    <row r="19" spans="2:2" ht="34.5" customHeight="1" x14ac:dyDescent="0.3">
      <c r="B19" s="10" t="s">
        <v>15</v>
      </c>
    </row>
    <row r="20" spans="2:2" ht="45.75" customHeight="1" x14ac:dyDescent="0.3">
      <c r="B20" s="10" t="s">
        <v>16</v>
      </c>
    </row>
    <row r="22" spans="2:2" ht="15.75" customHeight="1" x14ac:dyDescent="0.3">
      <c r="B22" s="9" t="s">
        <v>17</v>
      </c>
    </row>
    <row r="23" spans="2:2" ht="34.5" customHeight="1" x14ac:dyDescent="0.3">
      <c r="B23" s="10" t="s">
        <v>18</v>
      </c>
    </row>
    <row r="24" spans="2:2" ht="34.5" customHeight="1" x14ac:dyDescent="0.3">
      <c r="B24" s="10" t="s">
        <v>19</v>
      </c>
    </row>
    <row r="25" spans="2:2" ht="34.5" customHeight="1" x14ac:dyDescent="0.3">
      <c r="B25" s="10" t="s">
        <v>20</v>
      </c>
    </row>
    <row r="26" spans="2:2" ht="34.5" customHeight="1" x14ac:dyDescent="0.3">
      <c r="B26" s="10" t="s">
        <v>21</v>
      </c>
    </row>
    <row r="28" spans="2:2" ht="15.75" customHeight="1" x14ac:dyDescent="0.3">
      <c r="B28" s="9" t="s">
        <v>22</v>
      </c>
    </row>
    <row r="29" spans="2:2" ht="23.25" customHeight="1" x14ac:dyDescent="0.3">
      <c r="B29" s="10" t="s">
        <v>23</v>
      </c>
    </row>
    <row r="30" spans="2:2" ht="23.25" customHeight="1" x14ac:dyDescent="0.3">
      <c r="B30" s="10" t="s">
        <v>24</v>
      </c>
    </row>
    <row r="31" spans="2:2" ht="23.25" customHeight="1" x14ac:dyDescent="0.3">
      <c r="B31" s="10" t="s">
        <v>25</v>
      </c>
    </row>
    <row r="32" spans="2:2" ht="23.25" customHeight="1" x14ac:dyDescent="0.3">
      <c r="B32" s="10" t="s">
        <v>26</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showGridLines="0" zoomScaleNormal="100" workbookViewId="0">
      <pane ySplit="1" topLeftCell="A2" activePane="bottomLeft" state="frozen"/>
      <selection pane="bottomLeft"/>
    </sheetView>
  </sheetViews>
  <sheetFormatPr baseColWidth="10" defaultColWidth="8.6640625" defaultRowHeight="14.4" x14ac:dyDescent="0.3"/>
  <cols>
    <col min="1" max="1" width="4" style="8" customWidth="1"/>
    <col min="2" max="2" width="20" style="8" customWidth="1"/>
    <col min="3" max="3" width="55" style="8" customWidth="1"/>
    <col min="4" max="4" width="30" style="8" customWidth="1"/>
    <col min="5" max="5" width="14" style="8" customWidth="1"/>
    <col min="6" max="6" width="45" style="8" customWidth="1"/>
  </cols>
  <sheetData>
    <row r="1" spans="1:6" ht="15" customHeight="1" x14ac:dyDescent="0.3">
      <c r="A1" s="11" t="s">
        <v>27</v>
      </c>
      <c r="B1" s="11" t="s">
        <v>28</v>
      </c>
      <c r="C1" s="11" t="s">
        <v>29</v>
      </c>
      <c r="D1" s="11" t="s">
        <v>30</v>
      </c>
      <c r="E1" s="11" t="s">
        <v>31</v>
      </c>
      <c r="F1" s="11" t="s">
        <v>32</v>
      </c>
    </row>
    <row r="2" spans="1:6" ht="60" customHeight="1" x14ac:dyDescent="0.3">
      <c r="A2" s="8">
        <v>1</v>
      </c>
      <c r="B2" s="12" t="s">
        <v>33</v>
      </c>
      <c r="C2" s="12" t="s">
        <v>34</v>
      </c>
      <c r="D2" s="12" t="s">
        <v>35</v>
      </c>
      <c r="E2" s="12" t="s">
        <v>36</v>
      </c>
      <c r="F2" s="12" t="s">
        <v>37</v>
      </c>
    </row>
    <row r="3" spans="1:6" ht="60" customHeight="1" x14ac:dyDescent="0.3">
      <c r="A3" s="8">
        <v>2</v>
      </c>
      <c r="B3" s="12" t="s">
        <v>38</v>
      </c>
      <c r="C3" s="12" t="s">
        <v>39</v>
      </c>
      <c r="D3" s="12" t="s">
        <v>40</v>
      </c>
      <c r="E3" s="12" t="s">
        <v>41</v>
      </c>
      <c r="F3" s="12" t="s">
        <v>42</v>
      </c>
    </row>
    <row r="4" spans="1:6" ht="60" customHeight="1" x14ac:dyDescent="0.3">
      <c r="A4" s="8">
        <v>3</v>
      </c>
      <c r="B4" s="12" t="s">
        <v>43</v>
      </c>
      <c r="C4" s="12" t="s">
        <v>44</v>
      </c>
      <c r="D4" s="12" t="s">
        <v>45</v>
      </c>
      <c r="E4" s="12" t="s">
        <v>36</v>
      </c>
      <c r="F4" s="12" t="s">
        <v>46</v>
      </c>
    </row>
    <row r="5" spans="1:6" ht="60" customHeight="1" x14ac:dyDescent="0.3">
      <c r="A5" s="8">
        <v>4</v>
      </c>
      <c r="B5" s="12" t="s">
        <v>47</v>
      </c>
      <c r="C5" s="12" t="s">
        <v>48</v>
      </c>
      <c r="D5" s="12" t="s">
        <v>49</v>
      </c>
      <c r="E5" s="12" t="s">
        <v>36</v>
      </c>
      <c r="F5" s="12" t="s">
        <v>50</v>
      </c>
    </row>
    <row r="6" spans="1:6" ht="60" customHeight="1" x14ac:dyDescent="0.3">
      <c r="A6" s="8">
        <v>5</v>
      </c>
      <c r="B6" s="12" t="s">
        <v>51</v>
      </c>
      <c r="C6" s="12" t="s">
        <v>52</v>
      </c>
      <c r="D6" s="12" t="s">
        <v>53</v>
      </c>
      <c r="E6" s="12" t="s">
        <v>36</v>
      </c>
      <c r="F6" s="12" t="s">
        <v>54</v>
      </c>
    </row>
    <row r="7" spans="1:6" ht="60" customHeight="1" x14ac:dyDescent="0.3">
      <c r="A7" s="8">
        <v>6</v>
      </c>
      <c r="B7" s="12" t="s">
        <v>55</v>
      </c>
      <c r="C7" s="12" t="s">
        <v>56</v>
      </c>
      <c r="D7" s="12" t="s">
        <v>57</v>
      </c>
      <c r="E7" s="12" t="s">
        <v>41</v>
      </c>
      <c r="F7" s="12" t="s">
        <v>58</v>
      </c>
    </row>
    <row r="8" spans="1:6" ht="60" customHeight="1" x14ac:dyDescent="0.3">
      <c r="A8" s="8">
        <v>7</v>
      </c>
      <c r="B8" s="12" t="s">
        <v>59</v>
      </c>
      <c r="C8" s="12" t="s">
        <v>60</v>
      </c>
      <c r="D8" s="12" t="s">
        <v>61</v>
      </c>
      <c r="E8" s="12" t="s">
        <v>36</v>
      </c>
      <c r="F8" s="12" t="s">
        <v>62</v>
      </c>
    </row>
    <row r="9" spans="1:6" ht="60" customHeight="1" x14ac:dyDescent="0.3">
      <c r="A9" s="8">
        <v>8</v>
      </c>
      <c r="B9" s="12" t="s">
        <v>63</v>
      </c>
      <c r="C9" s="12" t="s">
        <v>64</v>
      </c>
      <c r="D9" s="12" t="s">
        <v>65</v>
      </c>
      <c r="E9" s="12" t="s">
        <v>66</v>
      </c>
      <c r="F9" s="12" t="s">
        <v>67</v>
      </c>
    </row>
    <row r="10" spans="1:6" ht="60" customHeight="1" x14ac:dyDescent="0.3">
      <c r="A10" s="8">
        <v>9</v>
      </c>
      <c r="B10" s="12" t="s">
        <v>68</v>
      </c>
      <c r="C10" s="12" t="s">
        <v>69</v>
      </c>
      <c r="D10" s="12" t="s">
        <v>70</v>
      </c>
      <c r="E10" s="12" t="s">
        <v>71</v>
      </c>
      <c r="F10" s="12" t="s">
        <v>72</v>
      </c>
    </row>
    <row r="11" spans="1:6" ht="60" customHeight="1" x14ac:dyDescent="0.3">
      <c r="A11" s="8">
        <v>10</v>
      </c>
      <c r="B11" s="12" t="s">
        <v>73</v>
      </c>
      <c r="C11" s="12" t="s">
        <v>74</v>
      </c>
      <c r="D11" s="12" t="s">
        <v>75</v>
      </c>
      <c r="E11" s="12" t="s">
        <v>76</v>
      </c>
      <c r="F11" s="12" t="s">
        <v>77</v>
      </c>
    </row>
    <row r="12" spans="1:6" ht="60" customHeight="1" x14ac:dyDescent="0.3">
      <c r="A12" s="8">
        <v>11</v>
      </c>
      <c r="B12" s="12" t="s">
        <v>78</v>
      </c>
      <c r="C12" s="12" t="s">
        <v>79</v>
      </c>
      <c r="D12" s="12" t="s">
        <v>80</v>
      </c>
      <c r="E12" s="12" t="s">
        <v>81</v>
      </c>
      <c r="F12" s="12" t="s">
        <v>82</v>
      </c>
    </row>
    <row r="13" spans="1:6" ht="60" customHeight="1" x14ac:dyDescent="0.3">
      <c r="A13" s="8">
        <v>12</v>
      </c>
      <c r="B13" s="12" t="s">
        <v>83</v>
      </c>
      <c r="C13" s="12" t="s">
        <v>84</v>
      </c>
      <c r="D13" s="12" t="s">
        <v>85</v>
      </c>
      <c r="E13" s="12" t="s">
        <v>86</v>
      </c>
      <c r="F13" s="12" t="s">
        <v>87</v>
      </c>
    </row>
    <row r="14" spans="1:6" ht="60" customHeight="1" x14ac:dyDescent="0.3">
      <c r="A14" s="8">
        <v>13</v>
      </c>
      <c r="B14" s="12" t="s">
        <v>88</v>
      </c>
      <c r="C14" s="12" t="s">
        <v>89</v>
      </c>
      <c r="D14" s="12" t="s">
        <v>90</v>
      </c>
      <c r="E14" s="12" t="s">
        <v>91</v>
      </c>
      <c r="F14" s="12" t="s">
        <v>92</v>
      </c>
    </row>
    <row r="15" spans="1:6" ht="60" customHeight="1" x14ac:dyDescent="0.3">
      <c r="A15" s="8">
        <v>14</v>
      </c>
      <c r="B15" s="12" t="s">
        <v>93</v>
      </c>
      <c r="C15" s="12" t="s">
        <v>94</v>
      </c>
      <c r="D15" s="12" t="s">
        <v>95</v>
      </c>
      <c r="E15" s="12" t="s">
        <v>36</v>
      </c>
      <c r="F15" s="12" t="s">
        <v>96</v>
      </c>
    </row>
    <row r="16" spans="1:6" ht="60" customHeight="1" x14ac:dyDescent="0.3">
      <c r="A16" s="8">
        <v>15</v>
      </c>
      <c r="B16" s="12" t="s">
        <v>97</v>
      </c>
      <c r="C16" s="12" t="s">
        <v>98</v>
      </c>
      <c r="D16" s="12" t="s">
        <v>99</v>
      </c>
      <c r="E16" s="12" t="s">
        <v>91</v>
      </c>
      <c r="F16" s="12" t="s">
        <v>100</v>
      </c>
    </row>
    <row r="17" spans="1:6" ht="60" customHeight="1" x14ac:dyDescent="0.3">
      <c r="A17" s="8">
        <v>16</v>
      </c>
      <c r="B17" s="12" t="s">
        <v>101</v>
      </c>
      <c r="C17" s="12" t="s">
        <v>102</v>
      </c>
      <c r="D17" s="12" t="s">
        <v>103</v>
      </c>
      <c r="E17" s="12" t="s">
        <v>86</v>
      </c>
      <c r="F17" s="12" t="s">
        <v>104</v>
      </c>
    </row>
    <row r="18" spans="1:6" ht="60" customHeight="1" x14ac:dyDescent="0.3">
      <c r="A18" s="8">
        <v>17</v>
      </c>
      <c r="B18" s="12" t="s">
        <v>105</v>
      </c>
      <c r="C18" s="12" t="s">
        <v>106</v>
      </c>
      <c r="D18" s="12" t="s">
        <v>107</v>
      </c>
      <c r="E18" s="12" t="s">
        <v>36</v>
      </c>
      <c r="F18" s="12" t="s">
        <v>108</v>
      </c>
    </row>
    <row r="19" spans="1:6" ht="60" customHeight="1" x14ac:dyDescent="0.3">
      <c r="A19" s="8">
        <v>18</v>
      </c>
      <c r="B19" s="12" t="s">
        <v>109</v>
      </c>
      <c r="C19" s="12" t="s">
        <v>110</v>
      </c>
      <c r="D19" s="12" t="s">
        <v>111</v>
      </c>
      <c r="E19" s="12" t="s">
        <v>112</v>
      </c>
      <c r="F19" s="12" t="s">
        <v>113</v>
      </c>
    </row>
    <row r="20" spans="1:6" ht="60" customHeight="1" x14ac:dyDescent="0.3">
      <c r="A20" s="8">
        <v>19</v>
      </c>
      <c r="B20" s="12" t="s">
        <v>114</v>
      </c>
      <c r="C20" s="12" t="s">
        <v>115</v>
      </c>
      <c r="D20" s="12" t="s">
        <v>116</v>
      </c>
      <c r="E20" s="12" t="s">
        <v>117</v>
      </c>
      <c r="F20" s="12" t="s">
        <v>118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showGridLines="0" zoomScaleNormal="100" workbookViewId="0">
      <selection activeCell="C5" sqref="C5"/>
    </sheetView>
  </sheetViews>
  <sheetFormatPr baseColWidth="10" defaultColWidth="8.6640625" defaultRowHeight="14.4" x14ac:dyDescent="0.3"/>
  <cols>
    <col min="1" max="1" width="8" style="8" customWidth="1"/>
    <col min="2" max="2" width="38" style="8" customWidth="1"/>
    <col min="3" max="3" width="45" style="8" customWidth="1"/>
    <col min="4" max="4" width="55" style="8" customWidth="1"/>
    <col min="6" max="16" width="30" style="8" customWidth="1"/>
  </cols>
  <sheetData>
    <row r="1" spans="1:16" ht="21.75" customHeight="1" x14ac:dyDescent="0.3">
      <c r="A1" s="5" t="s">
        <v>119</v>
      </c>
      <c r="B1" s="5"/>
      <c r="C1" s="5"/>
      <c r="D1" s="5"/>
    </row>
    <row r="3" spans="1:16" ht="15" customHeight="1" x14ac:dyDescent="0.3">
      <c r="A3" s="11" t="s">
        <v>120</v>
      </c>
      <c r="B3" s="11" t="s">
        <v>121</v>
      </c>
      <c r="C3" s="11" t="s">
        <v>122</v>
      </c>
      <c r="D3" s="11" t="s">
        <v>123</v>
      </c>
      <c r="F3" s="13" t="s">
        <v>124</v>
      </c>
      <c r="G3" s="13" t="s">
        <v>125</v>
      </c>
      <c r="H3" s="13" t="s">
        <v>126</v>
      </c>
      <c r="I3" s="13" t="s">
        <v>127</v>
      </c>
      <c r="J3" s="13" t="s">
        <v>128</v>
      </c>
      <c r="K3" s="13" t="s">
        <v>129</v>
      </c>
      <c r="L3" s="13" t="s">
        <v>130</v>
      </c>
      <c r="M3" s="13" t="s">
        <v>131</v>
      </c>
      <c r="N3" s="13" t="s">
        <v>132</v>
      </c>
      <c r="O3" s="13" t="s">
        <v>133</v>
      </c>
      <c r="P3" s="13" t="s">
        <v>134</v>
      </c>
    </row>
    <row r="4" spans="1:16" ht="31.5" customHeight="1" x14ac:dyDescent="0.3">
      <c r="A4" s="14" t="s">
        <v>135</v>
      </c>
      <c r="B4" s="15" t="s">
        <v>136</v>
      </c>
      <c r="C4" s="16" t="s">
        <v>137</v>
      </c>
      <c r="D4" s="16" t="s">
        <v>138</v>
      </c>
      <c r="F4" s="17" t="s">
        <v>139</v>
      </c>
      <c r="G4" s="17" t="s">
        <v>140</v>
      </c>
      <c r="H4" s="17" t="s">
        <v>141</v>
      </c>
      <c r="I4" s="17" t="s">
        <v>142</v>
      </c>
      <c r="J4" s="17" t="s">
        <v>143</v>
      </c>
      <c r="K4" s="17" t="s">
        <v>144</v>
      </c>
      <c r="L4" s="17" t="s">
        <v>145</v>
      </c>
      <c r="M4" s="17" t="s">
        <v>146</v>
      </c>
      <c r="N4" s="17" t="s">
        <v>145</v>
      </c>
      <c r="O4" s="17" t="s">
        <v>145</v>
      </c>
      <c r="P4" s="17" t="s">
        <v>145</v>
      </c>
    </row>
    <row r="5" spans="1:16" ht="31.5" customHeight="1" x14ac:dyDescent="0.3">
      <c r="A5" s="14" t="s">
        <v>147</v>
      </c>
      <c r="B5" s="15" t="s">
        <v>148</v>
      </c>
      <c r="C5" s="16" t="s">
        <v>149</v>
      </c>
      <c r="D5" s="16" t="s">
        <v>150</v>
      </c>
      <c r="F5" s="17" t="s">
        <v>151</v>
      </c>
      <c r="G5" s="17" t="s">
        <v>152</v>
      </c>
      <c r="H5" s="17" t="s">
        <v>153</v>
      </c>
      <c r="I5" s="17" t="s">
        <v>154</v>
      </c>
      <c r="J5" s="17" t="s">
        <v>155</v>
      </c>
      <c r="K5" s="17" t="s">
        <v>156</v>
      </c>
      <c r="L5" s="17" t="s">
        <v>157</v>
      </c>
      <c r="M5" s="17" t="s">
        <v>158</v>
      </c>
      <c r="N5" s="17" t="s">
        <v>157</v>
      </c>
      <c r="O5" s="17" t="s">
        <v>157</v>
      </c>
      <c r="P5" s="17" t="s">
        <v>157</v>
      </c>
    </row>
    <row r="6" spans="1:16" ht="31.5" customHeight="1" x14ac:dyDescent="0.3">
      <c r="A6" s="14" t="s">
        <v>159</v>
      </c>
      <c r="B6" s="15" t="s">
        <v>160</v>
      </c>
      <c r="C6" s="16" t="s">
        <v>161</v>
      </c>
      <c r="D6" s="16" t="s">
        <v>162</v>
      </c>
      <c r="F6" s="17" t="s">
        <v>163</v>
      </c>
      <c r="H6" s="17" t="s">
        <v>164</v>
      </c>
      <c r="I6" s="17" t="s">
        <v>165</v>
      </c>
      <c r="J6" s="17" t="s">
        <v>166</v>
      </c>
      <c r="K6" s="17" t="s">
        <v>167</v>
      </c>
      <c r="M6" s="17" t="s">
        <v>168</v>
      </c>
    </row>
    <row r="7" spans="1:16" ht="31.5" customHeight="1" x14ac:dyDescent="0.3">
      <c r="A7" s="14" t="s">
        <v>169</v>
      </c>
      <c r="B7" s="15" t="s">
        <v>170</v>
      </c>
      <c r="C7" s="16" t="s">
        <v>171</v>
      </c>
      <c r="D7" s="16" t="s">
        <v>172</v>
      </c>
      <c r="F7" s="17" t="s">
        <v>173</v>
      </c>
      <c r="J7" s="17" t="s">
        <v>174</v>
      </c>
    </row>
    <row r="8" spans="1:16" ht="31.5" customHeight="1" x14ac:dyDescent="0.3">
      <c r="A8" s="14" t="s">
        <v>175</v>
      </c>
      <c r="B8" s="15" t="s">
        <v>176</v>
      </c>
      <c r="C8" s="16" t="s">
        <v>177</v>
      </c>
      <c r="D8" s="16" t="s">
        <v>178</v>
      </c>
      <c r="F8" s="17" t="s">
        <v>179</v>
      </c>
      <c r="J8" s="17" t="s">
        <v>180</v>
      </c>
    </row>
    <row r="9" spans="1:16" ht="31.5" customHeight="1" x14ac:dyDescent="0.3">
      <c r="A9" s="14" t="s">
        <v>181</v>
      </c>
      <c r="B9" s="15" t="s">
        <v>182</v>
      </c>
      <c r="C9" s="16" t="s">
        <v>183</v>
      </c>
      <c r="D9" s="16" t="s">
        <v>184</v>
      </c>
      <c r="F9" s="17" t="s">
        <v>185</v>
      </c>
    </row>
    <row r="10" spans="1:16" ht="31.5" customHeight="1" x14ac:dyDescent="0.3">
      <c r="A10" s="14" t="s">
        <v>186</v>
      </c>
      <c r="B10" s="15" t="s">
        <v>187</v>
      </c>
      <c r="C10" s="16" t="s">
        <v>188</v>
      </c>
      <c r="D10" s="16" t="s">
        <v>189</v>
      </c>
    </row>
    <row r="11" spans="1:16" ht="31.5" customHeight="1" x14ac:dyDescent="0.3">
      <c r="A11" s="14" t="s">
        <v>190</v>
      </c>
      <c r="B11" s="15" t="s">
        <v>191</v>
      </c>
      <c r="C11" s="16" t="s">
        <v>192</v>
      </c>
      <c r="D11" s="16" t="s">
        <v>193</v>
      </c>
    </row>
    <row r="12" spans="1:16" ht="31.5" customHeight="1" x14ac:dyDescent="0.3">
      <c r="A12" s="14" t="s">
        <v>194</v>
      </c>
      <c r="B12" s="15" t="s">
        <v>195</v>
      </c>
      <c r="C12" s="16" t="s">
        <v>188</v>
      </c>
      <c r="D12" s="16" t="s">
        <v>196</v>
      </c>
    </row>
    <row r="13" spans="1:16" ht="31.5" customHeight="1" x14ac:dyDescent="0.3">
      <c r="A13" s="14" t="s">
        <v>197</v>
      </c>
      <c r="B13" s="15" t="s">
        <v>198</v>
      </c>
      <c r="C13" s="16" t="s">
        <v>188</v>
      </c>
      <c r="D13" s="16" t="s">
        <v>199</v>
      </c>
    </row>
    <row r="14" spans="1:16" ht="31.5" customHeight="1" x14ac:dyDescent="0.3">
      <c r="A14" s="14" t="s">
        <v>200</v>
      </c>
      <c r="B14" s="15" t="s">
        <v>201</v>
      </c>
      <c r="C14" s="16" t="s">
        <v>188</v>
      </c>
      <c r="D14" s="16" t="s">
        <v>202</v>
      </c>
    </row>
  </sheetData>
  <mergeCells count="1">
    <mergeCell ref="A1:D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showGridLines="0" tabSelected="1" zoomScale="90" zoomScaleNormal="90" workbookViewId="0">
      <pane xSplit="3" ySplit="3" topLeftCell="D4" activePane="bottomRight" state="frozen"/>
      <selection pane="topRight" activeCell="D1" sqref="D1"/>
      <selection pane="bottomLeft" activeCell="A4" sqref="A4"/>
      <selection pane="bottomRight" activeCell="E4" sqref="E4"/>
    </sheetView>
  </sheetViews>
  <sheetFormatPr baseColWidth="10" defaultColWidth="8.6640625" defaultRowHeight="14.4" x14ac:dyDescent="0.3"/>
  <cols>
    <col min="1" max="1" width="26" style="8" customWidth="1"/>
    <col min="2" max="2" width="24.33203125" style="8" bestFit="1" customWidth="1"/>
    <col min="3" max="4" width="28.21875" style="8" customWidth="1"/>
    <col min="5" max="5" width="10.5546875" style="8" bestFit="1" customWidth="1"/>
    <col min="6" max="6" width="10.109375" style="8" bestFit="1" customWidth="1"/>
    <col min="7" max="7" width="10" style="8" bestFit="1" customWidth="1"/>
    <col min="8" max="8" width="7.21875" style="8" customWidth="1"/>
    <col min="9" max="9" width="7.21875" style="8" bestFit="1" customWidth="1"/>
    <col min="10" max="10" width="9" style="8" bestFit="1" customWidth="1"/>
    <col min="11" max="11" width="11.21875" style="8" bestFit="1" customWidth="1"/>
    <col min="12" max="14" width="10.33203125" style="8" bestFit="1" customWidth="1"/>
    <col min="15" max="15" width="60" style="8" customWidth="1"/>
  </cols>
  <sheetData>
    <row r="1" spans="1:16" ht="21.75" customHeight="1" x14ac:dyDescent="0.3">
      <c r="A1" s="5" t="s">
        <v>203</v>
      </c>
      <c r="B1" s="5"/>
      <c r="C1" s="5"/>
      <c r="D1" s="5"/>
      <c r="E1" s="5"/>
      <c r="F1" s="5"/>
      <c r="G1" s="5"/>
      <c r="H1" s="5"/>
      <c r="I1" s="5"/>
      <c r="J1" s="5"/>
      <c r="K1" s="5"/>
      <c r="L1" s="5"/>
      <c r="M1" s="5"/>
      <c r="N1" s="5"/>
      <c r="O1" s="5"/>
      <c r="P1" s="5"/>
    </row>
    <row r="2" spans="1:16" ht="21.75" customHeight="1" x14ac:dyDescent="0.3">
      <c r="D2" s="18" t="s">
        <v>204</v>
      </c>
      <c r="E2" s="18" t="s">
        <v>204</v>
      </c>
      <c r="F2" s="18" t="s">
        <v>204</v>
      </c>
      <c r="G2" s="18" t="s">
        <v>204</v>
      </c>
      <c r="H2" s="18" t="s">
        <v>204</v>
      </c>
      <c r="I2" s="18" t="s">
        <v>204</v>
      </c>
      <c r="J2" s="18" t="s">
        <v>204</v>
      </c>
      <c r="K2" s="19" t="s">
        <v>205</v>
      </c>
      <c r="L2" s="19" t="s">
        <v>205</v>
      </c>
      <c r="M2" s="19" t="s">
        <v>205</v>
      </c>
      <c r="N2" s="19" t="s">
        <v>205</v>
      </c>
    </row>
    <row r="3" spans="1:16" ht="45.75" customHeight="1" x14ac:dyDescent="0.3">
      <c r="A3" s="20" t="s">
        <v>206</v>
      </c>
      <c r="B3" s="20" t="s">
        <v>121</v>
      </c>
      <c r="C3" s="20" t="s">
        <v>207</v>
      </c>
      <c r="D3" s="20" t="s">
        <v>208</v>
      </c>
      <c r="E3" s="20" t="s">
        <v>209</v>
      </c>
      <c r="F3" s="20" t="s">
        <v>210</v>
      </c>
      <c r="G3" s="20" t="s">
        <v>211</v>
      </c>
      <c r="H3" s="20" t="s">
        <v>212</v>
      </c>
      <c r="I3" s="20" t="s">
        <v>213</v>
      </c>
      <c r="J3" s="20" t="s">
        <v>214</v>
      </c>
      <c r="K3" s="20" t="s">
        <v>215</v>
      </c>
      <c r="L3" s="20" t="s">
        <v>216</v>
      </c>
      <c r="M3" s="20" t="s">
        <v>217</v>
      </c>
      <c r="N3" s="20" t="s">
        <v>218</v>
      </c>
      <c r="O3" s="20" t="s">
        <v>219</v>
      </c>
    </row>
    <row r="4" spans="1:16" ht="25.5" customHeight="1" x14ac:dyDescent="0.3">
      <c r="A4" s="21" t="s">
        <v>220</v>
      </c>
      <c r="B4" s="22" t="s">
        <v>124</v>
      </c>
      <c r="C4" s="16" t="s">
        <v>139</v>
      </c>
      <c r="D4" s="23">
        <v>1</v>
      </c>
      <c r="E4" s="23">
        <v>3</v>
      </c>
      <c r="F4" s="23">
        <v>1</v>
      </c>
      <c r="G4" s="23">
        <v>0</v>
      </c>
      <c r="H4" s="23">
        <v>2</v>
      </c>
      <c r="I4" s="23">
        <v>1</v>
      </c>
      <c r="J4" s="23">
        <v>3</v>
      </c>
      <c r="K4" s="24">
        <v>1</v>
      </c>
      <c r="L4" s="24">
        <v>1</v>
      </c>
      <c r="M4" s="24">
        <v>4</v>
      </c>
      <c r="N4" s="24">
        <v>1</v>
      </c>
      <c r="O4" s="25" t="s">
        <v>221</v>
      </c>
    </row>
    <row r="5" spans="1:16" ht="25.5" customHeight="1" x14ac:dyDescent="0.3">
      <c r="A5" s="21" t="s">
        <v>222</v>
      </c>
      <c r="B5" s="26"/>
      <c r="C5" s="16" t="s">
        <v>151</v>
      </c>
      <c r="D5" s="23">
        <v>3</v>
      </c>
      <c r="E5" s="23">
        <v>3</v>
      </c>
      <c r="F5" s="23">
        <v>2</v>
      </c>
      <c r="G5" s="23">
        <v>1</v>
      </c>
      <c r="H5" s="23">
        <v>3</v>
      </c>
      <c r="I5" s="23">
        <v>1</v>
      </c>
      <c r="J5" s="23">
        <v>4</v>
      </c>
      <c r="K5" s="24">
        <v>3</v>
      </c>
      <c r="L5" s="24">
        <v>2</v>
      </c>
      <c r="M5" s="24">
        <v>3</v>
      </c>
      <c r="N5" s="24">
        <v>3</v>
      </c>
      <c r="O5" s="25" t="s">
        <v>223</v>
      </c>
    </row>
    <row r="6" spans="1:16" ht="25.5" customHeight="1" x14ac:dyDescent="0.3">
      <c r="A6" s="21" t="s">
        <v>224</v>
      </c>
      <c r="B6" s="26"/>
      <c r="C6" s="16" t="s">
        <v>163</v>
      </c>
      <c r="D6" s="23">
        <v>5</v>
      </c>
      <c r="E6" s="23">
        <v>2</v>
      </c>
      <c r="F6" s="23">
        <v>3</v>
      </c>
      <c r="G6" s="23">
        <v>2</v>
      </c>
      <c r="H6" s="23">
        <v>3</v>
      </c>
      <c r="I6" s="23">
        <v>2</v>
      </c>
      <c r="J6" s="23">
        <v>3</v>
      </c>
      <c r="K6" s="24">
        <v>4</v>
      </c>
      <c r="L6" s="24">
        <v>4</v>
      </c>
      <c r="M6" s="24">
        <v>2</v>
      </c>
      <c r="N6" s="24">
        <v>3</v>
      </c>
      <c r="O6" s="25" t="s">
        <v>225</v>
      </c>
    </row>
    <row r="7" spans="1:16" ht="25.5" customHeight="1" x14ac:dyDescent="0.3">
      <c r="A7" s="21" t="s">
        <v>226</v>
      </c>
      <c r="B7" s="26"/>
      <c r="C7" s="16" t="s">
        <v>173</v>
      </c>
      <c r="D7" s="23">
        <v>4</v>
      </c>
      <c r="E7" s="23">
        <v>2</v>
      </c>
      <c r="F7" s="23">
        <v>4</v>
      </c>
      <c r="G7" s="23">
        <v>4</v>
      </c>
      <c r="H7" s="23">
        <v>4</v>
      </c>
      <c r="I7" s="23">
        <v>3</v>
      </c>
      <c r="J7" s="23">
        <v>2</v>
      </c>
      <c r="K7" s="24">
        <v>4</v>
      </c>
      <c r="L7" s="24">
        <v>4</v>
      </c>
      <c r="M7" s="24">
        <v>1</v>
      </c>
      <c r="N7" s="24">
        <v>2</v>
      </c>
      <c r="O7" s="25" t="s">
        <v>227</v>
      </c>
    </row>
    <row r="8" spans="1:16" ht="25.5" customHeight="1" x14ac:dyDescent="0.3">
      <c r="A8" s="21" t="s">
        <v>228</v>
      </c>
      <c r="B8" s="26"/>
      <c r="C8" s="16" t="s">
        <v>179</v>
      </c>
      <c r="D8" s="23">
        <v>2</v>
      </c>
      <c r="E8" s="23">
        <v>2</v>
      </c>
      <c r="F8" s="23">
        <v>5</v>
      </c>
      <c r="G8" s="23">
        <v>5</v>
      </c>
      <c r="H8" s="23">
        <v>4</v>
      </c>
      <c r="I8" s="23">
        <v>4</v>
      </c>
      <c r="J8" s="23">
        <v>1</v>
      </c>
      <c r="K8" s="24">
        <v>3</v>
      </c>
      <c r="L8" s="24">
        <v>3</v>
      </c>
      <c r="M8" s="24">
        <v>1</v>
      </c>
      <c r="N8" s="24">
        <v>1</v>
      </c>
      <c r="O8" s="25" t="s">
        <v>229</v>
      </c>
    </row>
    <row r="9" spans="1:16" ht="25.5" customHeight="1" x14ac:dyDescent="0.3">
      <c r="A9" s="21" t="s">
        <v>230</v>
      </c>
      <c r="B9" s="26"/>
      <c r="C9" s="16" t="s">
        <v>185</v>
      </c>
      <c r="D9" s="23">
        <v>1</v>
      </c>
      <c r="E9" s="23">
        <v>2</v>
      </c>
      <c r="F9" s="23">
        <v>5</v>
      </c>
      <c r="G9" s="23">
        <v>5</v>
      </c>
      <c r="H9" s="23">
        <v>3</v>
      </c>
      <c r="I9" s="23">
        <v>5</v>
      </c>
      <c r="J9" s="23">
        <v>1</v>
      </c>
      <c r="K9" s="24">
        <v>1</v>
      </c>
      <c r="L9" s="24">
        <v>2</v>
      </c>
      <c r="M9" s="24">
        <v>0</v>
      </c>
      <c r="N9" s="24">
        <v>0</v>
      </c>
      <c r="O9" s="25" t="s">
        <v>231</v>
      </c>
    </row>
    <row r="10" spans="1:16" ht="25.5" customHeight="1" x14ac:dyDescent="0.3">
      <c r="A10" s="21" t="s">
        <v>232</v>
      </c>
      <c r="B10" s="22" t="s">
        <v>125</v>
      </c>
      <c r="C10" s="16" t="s">
        <v>140</v>
      </c>
      <c r="D10" s="23">
        <v>3</v>
      </c>
      <c r="E10" s="23">
        <v>3</v>
      </c>
      <c r="F10" s="23">
        <v>2</v>
      </c>
      <c r="G10" s="23">
        <v>3</v>
      </c>
      <c r="H10" s="23">
        <v>2</v>
      </c>
      <c r="I10" s="23">
        <v>2</v>
      </c>
      <c r="J10" s="23">
        <v>2</v>
      </c>
      <c r="K10" s="24">
        <v>3</v>
      </c>
      <c r="L10" s="24">
        <v>2</v>
      </c>
      <c r="M10" s="24">
        <v>3</v>
      </c>
      <c r="N10" s="24">
        <v>2</v>
      </c>
      <c r="O10" s="25" t="s">
        <v>233</v>
      </c>
    </row>
    <row r="11" spans="1:16" ht="25.5" customHeight="1" x14ac:dyDescent="0.3">
      <c r="A11" s="21" t="s">
        <v>234</v>
      </c>
      <c r="B11" s="26"/>
      <c r="C11" s="16" t="s">
        <v>152</v>
      </c>
      <c r="D11" s="23">
        <v>4</v>
      </c>
      <c r="E11" s="23">
        <v>2</v>
      </c>
      <c r="F11" s="23">
        <v>3</v>
      </c>
      <c r="G11" s="23">
        <v>4</v>
      </c>
      <c r="H11" s="23">
        <v>3</v>
      </c>
      <c r="I11" s="23">
        <v>3</v>
      </c>
      <c r="J11" s="23">
        <v>4</v>
      </c>
      <c r="K11" s="24">
        <v>2</v>
      </c>
      <c r="L11" s="24">
        <v>2</v>
      </c>
      <c r="M11" s="24">
        <v>2</v>
      </c>
      <c r="N11" s="24">
        <v>2</v>
      </c>
      <c r="O11" s="25" t="s">
        <v>235</v>
      </c>
    </row>
    <row r="12" spans="1:16" ht="25.5" customHeight="1" x14ac:dyDescent="0.3">
      <c r="A12" s="21" t="s">
        <v>236</v>
      </c>
      <c r="B12" s="22" t="s">
        <v>126</v>
      </c>
      <c r="C12" s="16" t="s">
        <v>141</v>
      </c>
      <c r="D12" s="23">
        <v>2</v>
      </c>
      <c r="E12" s="23">
        <v>1</v>
      </c>
      <c r="F12" s="23">
        <v>1</v>
      </c>
      <c r="G12" s="23">
        <v>2</v>
      </c>
      <c r="H12" s="23">
        <v>3</v>
      </c>
      <c r="I12" s="23">
        <v>2</v>
      </c>
      <c r="J12" s="23">
        <v>2</v>
      </c>
      <c r="K12" s="24">
        <v>3</v>
      </c>
      <c r="L12" s="24">
        <v>3</v>
      </c>
      <c r="M12" s="24">
        <v>2</v>
      </c>
      <c r="N12" s="24">
        <v>2</v>
      </c>
      <c r="O12" s="25" t="s">
        <v>237</v>
      </c>
    </row>
    <row r="13" spans="1:16" ht="25.5" customHeight="1" x14ac:dyDescent="0.3">
      <c r="A13" s="21" t="s">
        <v>238</v>
      </c>
      <c r="B13" s="26"/>
      <c r="C13" s="16" t="s">
        <v>153</v>
      </c>
      <c r="D13" s="23">
        <v>5</v>
      </c>
      <c r="E13" s="23">
        <v>4</v>
      </c>
      <c r="F13" s="23">
        <v>4</v>
      </c>
      <c r="G13" s="23">
        <v>3</v>
      </c>
      <c r="H13" s="23">
        <v>4</v>
      </c>
      <c r="I13" s="23">
        <v>2</v>
      </c>
      <c r="J13" s="23">
        <v>2</v>
      </c>
      <c r="K13" s="24">
        <v>3</v>
      </c>
      <c r="L13" s="24">
        <v>3</v>
      </c>
      <c r="M13" s="24">
        <v>2</v>
      </c>
      <c r="N13" s="24">
        <v>3</v>
      </c>
      <c r="O13" s="25" t="s">
        <v>239</v>
      </c>
    </row>
    <row r="14" spans="1:16" ht="25.5" customHeight="1" x14ac:dyDescent="0.3">
      <c r="A14" s="21" t="s">
        <v>240</v>
      </c>
      <c r="B14" s="26"/>
      <c r="C14" s="16" t="s">
        <v>164</v>
      </c>
      <c r="D14" s="23">
        <v>3</v>
      </c>
      <c r="E14" s="23">
        <v>5</v>
      </c>
      <c r="F14" s="23">
        <v>3</v>
      </c>
      <c r="G14" s="23">
        <v>1</v>
      </c>
      <c r="H14" s="23">
        <v>1</v>
      </c>
      <c r="I14" s="23">
        <v>4</v>
      </c>
      <c r="J14" s="23">
        <v>1</v>
      </c>
      <c r="K14" s="24">
        <v>1</v>
      </c>
      <c r="L14" s="24">
        <v>1</v>
      </c>
      <c r="M14" s="24">
        <v>1</v>
      </c>
      <c r="N14" s="24">
        <v>1</v>
      </c>
      <c r="O14" s="25" t="s">
        <v>241</v>
      </c>
    </row>
    <row r="15" spans="1:16" ht="25.5" customHeight="1" x14ac:dyDescent="0.3">
      <c r="A15" s="21" t="s">
        <v>242</v>
      </c>
      <c r="B15" s="22" t="s">
        <v>127</v>
      </c>
      <c r="C15" s="16" t="s">
        <v>142</v>
      </c>
      <c r="D15" s="23">
        <v>1</v>
      </c>
      <c r="E15" s="23">
        <v>3</v>
      </c>
      <c r="F15" s="23">
        <v>1</v>
      </c>
      <c r="G15" s="23">
        <v>1</v>
      </c>
      <c r="H15" s="23">
        <v>0</v>
      </c>
      <c r="I15" s="23">
        <v>4</v>
      </c>
      <c r="J15" s="23">
        <v>1</v>
      </c>
      <c r="K15" s="24">
        <v>0</v>
      </c>
      <c r="L15" s="24">
        <v>0</v>
      </c>
      <c r="M15" s="24">
        <v>2</v>
      </c>
      <c r="N15" s="24">
        <v>0</v>
      </c>
      <c r="O15" s="25" t="s">
        <v>243</v>
      </c>
    </row>
    <row r="16" spans="1:16" ht="25.5" customHeight="1" x14ac:dyDescent="0.3">
      <c r="A16" s="21" t="s">
        <v>244</v>
      </c>
      <c r="B16" s="26"/>
      <c r="C16" s="16" t="s">
        <v>154</v>
      </c>
      <c r="D16" s="23">
        <v>3</v>
      </c>
      <c r="E16" s="23">
        <v>3</v>
      </c>
      <c r="F16" s="23">
        <v>3</v>
      </c>
      <c r="G16" s="23">
        <v>3</v>
      </c>
      <c r="H16" s="23">
        <v>3</v>
      </c>
      <c r="I16" s="23">
        <v>2</v>
      </c>
      <c r="J16" s="23">
        <v>3</v>
      </c>
      <c r="K16" s="24">
        <v>3</v>
      </c>
      <c r="L16" s="24">
        <v>3</v>
      </c>
      <c r="M16" s="24">
        <v>2</v>
      </c>
      <c r="N16" s="24">
        <v>2</v>
      </c>
      <c r="O16" s="25" t="s">
        <v>245</v>
      </c>
    </row>
    <row r="17" spans="1:15" ht="25.5" customHeight="1" x14ac:dyDescent="0.3">
      <c r="A17" s="21" t="s">
        <v>246</v>
      </c>
      <c r="B17" s="26"/>
      <c r="C17" s="16" t="s">
        <v>165</v>
      </c>
      <c r="D17" s="23">
        <v>4</v>
      </c>
      <c r="E17" s="23">
        <v>2</v>
      </c>
      <c r="F17" s="23">
        <v>3</v>
      </c>
      <c r="G17" s="23">
        <v>3</v>
      </c>
      <c r="H17" s="23">
        <v>5</v>
      </c>
      <c r="I17" s="23">
        <v>1</v>
      </c>
      <c r="J17" s="23">
        <v>4</v>
      </c>
      <c r="K17" s="24">
        <v>5</v>
      </c>
      <c r="L17" s="24">
        <v>5</v>
      </c>
      <c r="M17" s="24">
        <v>1</v>
      </c>
      <c r="N17" s="24">
        <v>4</v>
      </c>
      <c r="O17" s="25" t="s">
        <v>247</v>
      </c>
    </row>
    <row r="18" spans="1:15" ht="25.5" customHeight="1" x14ac:dyDescent="0.3">
      <c r="A18" s="21" t="s">
        <v>248</v>
      </c>
      <c r="B18" s="22" t="s">
        <v>128</v>
      </c>
      <c r="C18" s="16" t="s">
        <v>143</v>
      </c>
      <c r="D18" s="23">
        <v>1</v>
      </c>
      <c r="E18" s="23">
        <v>3</v>
      </c>
      <c r="F18" s="23">
        <v>1</v>
      </c>
      <c r="G18" s="23">
        <v>1</v>
      </c>
      <c r="H18" s="23">
        <v>2</v>
      </c>
      <c r="I18" s="23">
        <v>1</v>
      </c>
      <c r="J18" s="23">
        <v>4</v>
      </c>
      <c r="K18" s="24">
        <v>2</v>
      </c>
      <c r="L18" s="24">
        <v>1</v>
      </c>
      <c r="M18" s="24">
        <v>4</v>
      </c>
      <c r="N18" s="24">
        <v>1</v>
      </c>
      <c r="O18" s="25" t="s">
        <v>249</v>
      </c>
    </row>
    <row r="19" spans="1:15" ht="25.5" customHeight="1" x14ac:dyDescent="0.3">
      <c r="A19" s="21" t="s">
        <v>250</v>
      </c>
      <c r="B19" s="26"/>
      <c r="C19" s="16" t="s">
        <v>155</v>
      </c>
      <c r="D19" s="23">
        <v>2</v>
      </c>
      <c r="E19" s="23">
        <v>2</v>
      </c>
      <c r="F19" s="23">
        <v>2</v>
      </c>
      <c r="G19" s="23">
        <v>2</v>
      </c>
      <c r="H19" s="23">
        <v>3</v>
      </c>
      <c r="I19" s="23">
        <v>2</v>
      </c>
      <c r="J19" s="23">
        <v>4</v>
      </c>
      <c r="K19" s="24">
        <v>3</v>
      </c>
      <c r="L19" s="24">
        <v>4</v>
      </c>
      <c r="M19" s="24">
        <v>2</v>
      </c>
      <c r="N19" s="24">
        <v>2</v>
      </c>
      <c r="O19" s="25" t="s">
        <v>251</v>
      </c>
    </row>
    <row r="20" spans="1:15" ht="25.5" customHeight="1" x14ac:dyDescent="0.3">
      <c r="A20" s="21" t="s">
        <v>252</v>
      </c>
      <c r="B20" s="26"/>
      <c r="C20" s="16" t="s">
        <v>166</v>
      </c>
      <c r="D20" s="23">
        <v>5</v>
      </c>
      <c r="E20" s="23">
        <v>3</v>
      </c>
      <c r="F20" s="23">
        <v>4</v>
      </c>
      <c r="G20" s="23">
        <v>3</v>
      </c>
      <c r="H20" s="23">
        <v>5</v>
      </c>
      <c r="I20" s="23">
        <v>3</v>
      </c>
      <c r="J20" s="23">
        <v>2</v>
      </c>
      <c r="K20" s="24">
        <v>3</v>
      </c>
      <c r="L20" s="24">
        <v>4</v>
      </c>
      <c r="M20" s="24">
        <v>1</v>
      </c>
      <c r="N20" s="24">
        <v>1</v>
      </c>
      <c r="O20" s="25" t="s">
        <v>253</v>
      </c>
    </row>
    <row r="21" spans="1:15" ht="25.5" customHeight="1" x14ac:dyDescent="0.3">
      <c r="A21" s="21" t="s">
        <v>254</v>
      </c>
      <c r="B21" s="26"/>
      <c r="C21" s="16" t="s">
        <v>174</v>
      </c>
      <c r="D21" s="23">
        <v>5</v>
      </c>
      <c r="E21" s="23">
        <v>3</v>
      </c>
      <c r="F21" s="23">
        <v>3</v>
      </c>
      <c r="G21" s="23">
        <v>2</v>
      </c>
      <c r="H21" s="23">
        <v>3</v>
      </c>
      <c r="I21" s="23">
        <v>4</v>
      </c>
      <c r="J21" s="23">
        <v>1</v>
      </c>
      <c r="K21" s="24">
        <v>1</v>
      </c>
      <c r="L21" s="24">
        <v>2</v>
      </c>
      <c r="M21" s="24">
        <v>1</v>
      </c>
      <c r="N21" s="24">
        <v>1</v>
      </c>
      <c r="O21" s="25" t="s">
        <v>255</v>
      </c>
    </row>
    <row r="22" spans="1:15" ht="25.5" customHeight="1" x14ac:dyDescent="0.3">
      <c r="A22" s="21" t="s">
        <v>256</v>
      </c>
      <c r="B22" s="26"/>
      <c r="C22" s="16" t="s">
        <v>180</v>
      </c>
      <c r="D22" s="23">
        <v>3</v>
      </c>
      <c r="E22" s="23">
        <v>2</v>
      </c>
      <c r="F22" s="23">
        <v>5</v>
      </c>
      <c r="G22" s="23">
        <v>4</v>
      </c>
      <c r="H22" s="23">
        <v>3</v>
      </c>
      <c r="I22" s="23">
        <v>5</v>
      </c>
      <c r="J22" s="23">
        <v>1</v>
      </c>
      <c r="K22" s="24">
        <v>1</v>
      </c>
      <c r="L22" s="24">
        <v>2</v>
      </c>
      <c r="M22" s="24">
        <v>0</v>
      </c>
      <c r="N22" s="24">
        <v>0</v>
      </c>
      <c r="O22" s="25" t="s">
        <v>257</v>
      </c>
    </row>
    <row r="23" spans="1:15" ht="25.5" customHeight="1" x14ac:dyDescent="0.3">
      <c r="A23" s="21" t="s">
        <v>258</v>
      </c>
      <c r="B23" s="22" t="s">
        <v>129</v>
      </c>
      <c r="C23" s="16" t="s">
        <v>144</v>
      </c>
      <c r="D23" s="23">
        <v>2</v>
      </c>
      <c r="E23" s="23">
        <v>1</v>
      </c>
      <c r="F23" s="23">
        <v>1</v>
      </c>
      <c r="G23" s="23">
        <v>1</v>
      </c>
      <c r="H23" s="23">
        <v>2</v>
      </c>
      <c r="I23" s="23">
        <v>1</v>
      </c>
      <c r="J23" s="23">
        <v>2</v>
      </c>
      <c r="K23" s="24">
        <v>2</v>
      </c>
      <c r="L23" s="24">
        <v>5</v>
      </c>
      <c r="M23" s="24">
        <v>1</v>
      </c>
      <c r="N23" s="24">
        <v>1</v>
      </c>
      <c r="O23" s="25" t="s">
        <v>259</v>
      </c>
    </row>
    <row r="24" spans="1:15" ht="25.5" customHeight="1" x14ac:dyDescent="0.3">
      <c r="A24" s="21" t="s">
        <v>260</v>
      </c>
      <c r="B24" s="26"/>
      <c r="C24" s="16" t="s">
        <v>156</v>
      </c>
      <c r="D24" s="23">
        <v>3</v>
      </c>
      <c r="E24" s="23">
        <v>1</v>
      </c>
      <c r="F24" s="23">
        <v>1</v>
      </c>
      <c r="G24" s="23">
        <v>1</v>
      </c>
      <c r="H24" s="23">
        <v>2</v>
      </c>
      <c r="I24" s="23">
        <v>1</v>
      </c>
      <c r="J24" s="23">
        <v>1</v>
      </c>
      <c r="K24" s="24">
        <v>2</v>
      </c>
      <c r="L24" s="24">
        <v>5</v>
      </c>
      <c r="M24" s="24">
        <v>1</v>
      </c>
      <c r="N24" s="24">
        <v>1</v>
      </c>
      <c r="O24" s="25" t="s">
        <v>261</v>
      </c>
    </row>
    <row r="25" spans="1:15" ht="25.5" customHeight="1" x14ac:dyDescent="0.3">
      <c r="A25" s="21" t="s">
        <v>262</v>
      </c>
      <c r="B25" s="26"/>
      <c r="C25" s="16" t="s">
        <v>167</v>
      </c>
      <c r="D25" s="23">
        <v>1</v>
      </c>
      <c r="E25" s="23">
        <v>1</v>
      </c>
      <c r="F25" s="23">
        <v>1</v>
      </c>
      <c r="G25" s="23">
        <v>1</v>
      </c>
      <c r="H25" s="23">
        <v>1</v>
      </c>
      <c r="I25" s="23">
        <v>1</v>
      </c>
      <c r="J25" s="23">
        <v>2</v>
      </c>
      <c r="K25" s="24">
        <v>1</v>
      </c>
      <c r="L25" s="24">
        <v>1</v>
      </c>
      <c r="M25" s="24">
        <v>1</v>
      </c>
      <c r="N25" s="24">
        <v>0</v>
      </c>
      <c r="O25" s="25" t="s">
        <v>263</v>
      </c>
    </row>
    <row r="26" spans="1:15" ht="25.5" customHeight="1" x14ac:dyDescent="0.3">
      <c r="A26" s="21" t="s">
        <v>264</v>
      </c>
      <c r="B26" s="22" t="s">
        <v>130</v>
      </c>
      <c r="C26" s="16" t="s">
        <v>145</v>
      </c>
      <c r="D26" s="23">
        <v>0</v>
      </c>
      <c r="E26" s="23">
        <v>0</v>
      </c>
      <c r="F26" s="23">
        <v>0</v>
      </c>
      <c r="G26" s="23">
        <v>0</v>
      </c>
      <c r="H26" s="23">
        <v>0</v>
      </c>
      <c r="I26" s="23">
        <v>0</v>
      </c>
      <c r="J26" s="23">
        <v>0</v>
      </c>
      <c r="K26" s="24">
        <v>0</v>
      </c>
      <c r="L26" s="24">
        <v>1</v>
      </c>
      <c r="M26" s="24">
        <v>0</v>
      </c>
      <c r="N26" s="24">
        <v>5</v>
      </c>
      <c r="O26" s="25" t="s">
        <v>265</v>
      </c>
    </row>
    <row r="27" spans="1:15" ht="25.5" customHeight="1" x14ac:dyDescent="0.3">
      <c r="A27" s="21" t="s">
        <v>266</v>
      </c>
      <c r="B27" s="26"/>
      <c r="C27" s="16" t="s">
        <v>157</v>
      </c>
      <c r="D27" s="23">
        <v>0</v>
      </c>
      <c r="E27" s="23">
        <v>0</v>
      </c>
      <c r="F27" s="23">
        <v>0</v>
      </c>
      <c r="G27" s="23">
        <v>0</v>
      </c>
      <c r="H27" s="23">
        <v>0</v>
      </c>
      <c r="I27" s="23">
        <v>0</v>
      </c>
      <c r="J27" s="23">
        <v>0</v>
      </c>
      <c r="K27" s="24">
        <v>0</v>
      </c>
      <c r="L27" s="24">
        <v>0</v>
      </c>
      <c r="M27" s="24">
        <v>0</v>
      </c>
      <c r="N27" s="24">
        <v>0</v>
      </c>
      <c r="O27" s="25" t="s">
        <v>267</v>
      </c>
    </row>
    <row r="28" spans="1:15" ht="25.5" customHeight="1" x14ac:dyDescent="0.3">
      <c r="A28" s="21" t="s">
        <v>268</v>
      </c>
      <c r="B28" s="22" t="s">
        <v>131</v>
      </c>
      <c r="C28" s="16" t="s">
        <v>146</v>
      </c>
      <c r="D28" s="23">
        <v>1</v>
      </c>
      <c r="E28" s="23">
        <v>1</v>
      </c>
      <c r="F28" s="23">
        <v>0</v>
      </c>
      <c r="G28" s="23">
        <v>0</v>
      </c>
      <c r="H28" s="23">
        <v>0</v>
      </c>
      <c r="I28" s="23">
        <v>0</v>
      </c>
      <c r="J28" s="23">
        <v>0</v>
      </c>
      <c r="K28" s="24">
        <v>5</v>
      </c>
      <c r="L28" s="24">
        <v>0</v>
      </c>
      <c r="M28" s="24">
        <v>0</v>
      </c>
      <c r="N28" s="24">
        <v>0</v>
      </c>
      <c r="O28" s="25" t="s">
        <v>269</v>
      </c>
    </row>
    <row r="29" spans="1:15" ht="25.5" customHeight="1" x14ac:dyDescent="0.3">
      <c r="A29" s="21" t="s">
        <v>270</v>
      </c>
      <c r="B29" s="26"/>
      <c r="C29" s="16" t="s">
        <v>158</v>
      </c>
      <c r="D29" s="23">
        <v>2</v>
      </c>
      <c r="E29" s="23">
        <v>3</v>
      </c>
      <c r="F29" s="23">
        <v>1</v>
      </c>
      <c r="G29" s="23">
        <v>0</v>
      </c>
      <c r="H29" s="23">
        <v>0</v>
      </c>
      <c r="I29" s="23">
        <v>0</v>
      </c>
      <c r="J29" s="23">
        <v>0</v>
      </c>
      <c r="K29" s="24">
        <v>3</v>
      </c>
      <c r="L29" s="24">
        <v>0</v>
      </c>
      <c r="M29" s="24">
        <v>0</v>
      </c>
      <c r="N29" s="24">
        <v>0</v>
      </c>
      <c r="O29" s="25" t="s">
        <v>271</v>
      </c>
    </row>
    <row r="30" spans="1:15" ht="25.5" customHeight="1" x14ac:dyDescent="0.3">
      <c r="A30" s="21" t="s">
        <v>272</v>
      </c>
      <c r="B30" s="26"/>
      <c r="C30" s="16" t="s">
        <v>168</v>
      </c>
      <c r="D30" s="23">
        <v>0</v>
      </c>
      <c r="E30" s="23">
        <v>0</v>
      </c>
      <c r="F30" s="23">
        <v>0</v>
      </c>
      <c r="G30" s="23">
        <v>0</v>
      </c>
      <c r="H30" s="23">
        <v>0</v>
      </c>
      <c r="I30" s="23">
        <v>0</v>
      </c>
      <c r="J30" s="23">
        <v>0</v>
      </c>
      <c r="K30" s="24">
        <v>0</v>
      </c>
      <c r="L30" s="24">
        <v>0</v>
      </c>
      <c r="M30" s="24">
        <v>0</v>
      </c>
      <c r="N30" s="24">
        <v>0</v>
      </c>
      <c r="O30" s="25" t="s">
        <v>273</v>
      </c>
    </row>
    <row r="31" spans="1:15" ht="25.5" customHeight="1" x14ac:dyDescent="0.3">
      <c r="A31" s="21" t="s">
        <v>274</v>
      </c>
      <c r="B31" s="22" t="s">
        <v>132</v>
      </c>
      <c r="C31" s="16" t="s">
        <v>145</v>
      </c>
      <c r="D31" s="23">
        <v>0</v>
      </c>
      <c r="E31" s="23">
        <v>0</v>
      </c>
      <c r="F31" s="23">
        <v>0</v>
      </c>
      <c r="G31" s="23">
        <v>0</v>
      </c>
      <c r="H31" s="23">
        <v>0</v>
      </c>
      <c r="I31" s="23">
        <v>0</v>
      </c>
      <c r="J31" s="23">
        <v>5</v>
      </c>
      <c r="K31" s="24">
        <v>0</v>
      </c>
      <c r="L31" s="24">
        <v>0</v>
      </c>
      <c r="M31" s="24">
        <v>0</v>
      </c>
      <c r="N31" s="24">
        <v>0</v>
      </c>
      <c r="O31" s="25" t="s">
        <v>265</v>
      </c>
    </row>
    <row r="32" spans="1:15" ht="25.5" customHeight="1" x14ac:dyDescent="0.3">
      <c r="A32" s="21" t="s">
        <v>275</v>
      </c>
      <c r="B32" s="26"/>
      <c r="C32" s="16" t="s">
        <v>157</v>
      </c>
      <c r="D32" s="23">
        <v>0</v>
      </c>
      <c r="E32" s="23">
        <v>0</v>
      </c>
      <c r="F32" s="23">
        <v>0</v>
      </c>
      <c r="G32" s="23">
        <v>0</v>
      </c>
      <c r="H32" s="23">
        <v>0</v>
      </c>
      <c r="I32" s="23">
        <v>0</v>
      </c>
      <c r="J32" s="23">
        <v>0</v>
      </c>
      <c r="K32" s="24">
        <v>0</v>
      </c>
      <c r="L32" s="24">
        <v>0</v>
      </c>
      <c r="M32" s="24">
        <v>0</v>
      </c>
      <c r="N32" s="24">
        <v>0</v>
      </c>
      <c r="O32" s="25" t="s">
        <v>267</v>
      </c>
    </row>
    <row r="33" spans="1:15" ht="25.5" customHeight="1" x14ac:dyDescent="0.3">
      <c r="A33" s="21" t="s">
        <v>276</v>
      </c>
      <c r="B33" s="22" t="s">
        <v>133</v>
      </c>
      <c r="C33" s="16" t="s">
        <v>145</v>
      </c>
      <c r="D33" s="23">
        <v>0</v>
      </c>
      <c r="E33" s="23">
        <v>2</v>
      </c>
      <c r="F33" s="23">
        <v>0</v>
      </c>
      <c r="G33" s="23">
        <v>0</v>
      </c>
      <c r="H33" s="23">
        <v>0</v>
      </c>
      <c r="I33" s="23">
        <v>0</v>
      </c>
      <c r="J33" s="23">
        <v>0</v>
      </c>
      <c r="K33" s="24">
        <v>0</v>
      </c>
      <c r="L33" s="24">
        <v>0</v>
      </c>
      <c r="M33" s="24">
        <v>5</v>
      </c>
      <c r="N33" s="24">
        <v>0</v>
      </c>
      <c r="O33" s="25" t="s">
        <v>265</v>
      </c>
    </row>
    <row r="34" spans="1:15" ht="25.5" customHeight="1" x14ac:dyDescent="0.3">
      <c r="A34" s="21" t="s">
        <v>277</v>
      </c>
      <c r="B34" s="26"/>
      <c r="C34" s="16" t="s">
        <v>157</v>
      </c>
      <c r="D34" s="23">
        <v>0</v>
      </c>
      <c r="E34" s="23">
        <v>0</v>
      </c>
      <c r="F34" s="23">
        <v>0</v>
      </c>
      <c r="G34" s="23">
        <v>0</v>
      </c>
      <c r="H34" s="23">
        <v>0</v>
      </c>
      <c r="I34" s="23">
        <v>0</v>
      </c>
      <c r="J34" s="23">
        <v>0</v>
      </c>
      <c r="K34" s="24">
        <v>0</v>
      </c>
      <c r="L34" s="24">
        <v>0</v>
      </c>
      <c r="M34" s="24">
        <v>0</v>
      </c>
      <c r="N34" s="24">
        <v>0</v>
      </c>
      <c r="O34" s="25" t="s">
        <v>267</v>
      </c>
    </row>
    <row r="35" spans="1:15" ht="25.5" customHeight="1" x14ac:dyDescent="0.3">
      <c r="A35" s="21" t="s">
        <v>278</v>
      </c>
      <c r="B35" s="22" t="s">
        <v>134</v>
      </c>
      <c r="C35" s="16" t="s">
        <v>145</v>
      </c>
      <c r="D35" s="23">
        <v>3</v>
      </c>
      <c r="E35" s="23">
        <v>1</v>
      </c>
      <c r="F35" s="23">
        <v>1</v>
      </c>
      <c r="G35" s="23">
        <v>1</v>
      </c>
      <c r="H35" s="23">
        <v>1</v>
      </c>
      <c r="I35" s="23">
        <v>2</v>
      </c>
      <c r="J35" s="23">
        <v>0</v>
      </c>
      <c r="K35" s="24">
        <v>0</v>
      </c>
      <c r="L35" s="24">
        <v>0</v>
      </c>
      <c r="M35" s="24">
        <v>0</v>
      </c>
      <c r="N35" s="24">
        <v>0</v>
      </c>
      <c r="O35" s="25" t="s">
        <v>265</v>
      </c>
    </row>
    <row r="36" spans="1:15" ht="25.5" customHeight="1" x14ac:dyDescent="0.3">
      <c r="A36" s="21" t="s">
        <v>279</v>
      </c>
      <c r="B36" s="26"/>
      <c r="C36" s="16" t="s">
        <v>157</v>
      </c>
      <c r="D36" s="23">
        <v>0</v>
      </c>
      <c r="E36" s="23">
        <v>0</v>
      </c>
      <c r="F36" s="23">
        <v>0</v>
      </c>
      <c r="G36" s="23">
        <v>0</v>
      </c>
      <c r="H36" s="23">
        <v>0</v>
      </c>
      <c r="I36" s="23">
        <v>0</v>
      </c>
      <c r="J36" s="23">
        <v>0</v>
      </c>
      <c r="K36" s="24">
        <v>0</v>
      </c>
      <c r="L36" s="24">
        <v>0</v>
      </c>
      <c r="M36" s="24">
        <v>0</v>
      </c>
      <c r="N36" s="24">
        <v>0</v>
      </c>
      <c r="O36" s="25" t="s">
        <v>267</v>
      </c>
    </row>
    <row r="38" spans="1:15" ht="15" customHeight="1" x14ac:dyDescent="0.3">
      <c r="B38" s="4" t="s">
        <v>280</v>
      </c>
      <c r="C38" s="4"/>
      <c r="D38" s="27">
        <f t="shared" ref="D38:N38" si="0">MAX(D4:D9)+MAX(D10:D11)+MAX(D12:D14)+MAX(D15:D17)+MAX(D18:D22)+MAX(D23:D25)+MAX(D26:D27)+MAX(D28:D30)+MAX(D31:D32)+MAX(D33:D34)+MAX(D35:D36)</f>
        <v>31</v>
      </c>
      <c r="E38" s="27">
        <f t="shared" si="0"/>
        <v>24</v>
      </c>
      <c r="F38" s="27">
        <f t="shared" si="0"/>
        <v>23</v>
      </c>
      <c r="G38" s="27">
        <f t="shared" si="0"/>
        <v>21</v>
      </c>
      <c r="H38" s="27">
        <f t="shared" si="0"/>
        <v>24</v>
      </c>
      <c r="I38" s="27">
        <f t="shared" si="0"/>
        <v>24</v>
      </c>
      <c r="J38" s="27">
        <f t="shared" si="0"/>
        <v>25</v>
      </c>
      <c r="K38" s="27">
        <f t="shared" si="0"/>
        <v>25</v>
      </c>
      <c r="L38" s="27">
        <f t="shared" si="0"/>
        <v>24</v>
      </c>
      <c r="M38" s="27">
        <f t="shared" si="0"/>
        <v>21</v>
      </c>
      <c r="N38" s="27">
        <f t="shared" si="0"/>
        <v>20</v>
      </c>
    </row>
  </sheetData>
  <mergeCells count="2">
    <mergeCell ref="A1:P1"/>
    <mergeCell ref="B38:C3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showGridLines="0" zoomScaleNormal="100" workbookViewId="0">
      <pane ySplit="4" topLeftCell="A26" activePane="bottomLeft" state="frozen"/>
      <selection pane="bottomLeft" activeCell="C28" sqref="C28"/>
    </sheetView>
  </sheetViews>
  <sheetFormatPr baseColWidth="10" defaultColWidth="8.6640625" defaultRowHeight="14.4" x14ac:dyDescent="0.3"/>
  <cols>
    <col min="1" max="1" width="39.6640625" style="8" bestFit="1" customWidth="1"/>
    <col min="2" max="2" width="32" style="8" customWidth="1"/>
    <col min="3" max="3" width="31.5546875" style="8" bestFit="1" customWidth="1"/>
    <col min="4" max="4" width="28.109375" style="8" bestFit="1" customWidth="1"/>
    <col min="5" max="5" width="15" style="8" customWidth="1"/>
    <col min="6" max="6" width="14" style="8" customWidth="1"/>
    <col min="7" max="7" width="7" style="8" customWidth="1"/>
    <col min="8" max="8" width="9.33203125" style="8" bestFit="1" customWidth="1"/>
    <col min="9" max="12" width="7" style="8" customWidth="1"/>
  </cols>
  <sheetData>
    <row r="1" spans="1:6" ht="21.75" customHeight="1" x14ac:dyDescent="0.3">
      <c r="A1" s="5" t="s">
        <v>281</v>
      </c>
      <c r="B1" s="5"/>
      <c r="C1" s="5"/>
      <c r="D1" s="5"/>
      <c r="E1" s="5"/>
      <c r="F1" s="5"/>
    </row>
    <row r="2" spans="1:6" ht="15" customHeight="1" x14ac:dyDescent="0.3">
      <c r="A2" s="3" t="s">
        <v>282</v>
      </c>
      <c r="B2" s="3"/>
      <c r="C2" s="3"/>
      <c r="D2" s="3"/>
      <c r="E2" s="3"/>
      <c r="F2" s="3"/>
    </row>
    <row r="4" spans="1:6" ht="23.25" customHeight="1" x14ac:dyDescent="0.3">
      <c r="A4" s="11" t="s">
        <v>120</v>
      </c>
      <c r="B4" s="11" t="s">
        <v>121</v>
      </c>
      <c r="C4" s="11" t="s">
        <v>283</v>
      </c>
      <c r="D4" s="11" t="s">
        <v>206</v>
      </c>
    </row>
    <row r="5" spans="1:6" ht="21.75" customHeight="1" x14ac:dyDescent="0.3">
      <c r="A5" s="28" t="s">
        <v>135</v>
      </c>
      <c r="B5" s="16" t="s">
        <v>136</v>
      </c>
      <c r="C5" s="29" t="s">
        <v>163</v>
      </c>
      <c r="D5" s="30" t="str">
        <f t="shared" ref="D5:D15" si="0">$A5&amp;"|"&amp;$C5</f>
        <v>V1|36-45 años</v>
      </c>
    </row>
    <row r="6" spans="1:6" ht="21.75" customHeight="1" x14ac:dyDescent="0.3">
      <c r="A6" s="28" t="s">
        <v>147</v>
      </c>
      <c r="B6" s="16" t="s">
        <v>148</v>
      </c>
      <c r="C6" s="29" t="s">
        <v>152</v>
      </c>
      <c r="D6" s="30" t="str">
        <f t="shared" si="0"/>
        <v>V2|Femenino</v>
      </c>
    </row>
    <row r="7" spans="1:6" ht="21.75" customHeight="1" x14ac:dyDescent="0.3">
      <c r="A7" s="28" t="s">
        <v>159</v>
      </c>
      <c r="B7" s="16" t="s">
        <v>160</v>
      </c>
      <c r="C7" s="29" t="s">
        <v>153</v>
      </c>
      <c r="D7" s="30" t="str">
        <f t="shared" si="0"/>
        <v>V3|Formal independiente / profesional</v>
      </c>
    </row>
    <row r="8" spans="1:6" ht="21.75" customHeight="1" x14ac:dyDescent="0.3">
      <c r="A8" s="28" t="s">
        <v>169</v>
      </c>
      <c r="B8" s="16" t="s">
        <v>170</v>
      </c>
      <c r="C8" s="29" t="s">
        <v>154</v>
      </c>
      <c r="D8" s="30" t="str">
        <f t="shared" si="0"/>
        <v>V4|Medio ($1.3M - $4.6M)</v>
      </c>
    </row>
    <row r="9" spans="1:6" ht="21.75" customHeight="1" x14ac:dyDescent="0.3">
      <c r="A9" s="28" t="s">
        <v>175</v>
      </c>
      <c r="B9" s="16" t="s">
        <v>176</v>
      </c>
      <c r="C9" s="29" t="s">
        <v>166</v>
      </c>
      <c r="D9" s="30" t="str">
        <f t="shared" si="0"/>
        <v>V5|Con hijos menores de edad</v>
      </c>
    </row>
    <row r="10" spans="1:6" ht="21.75" customHeight="1" x14ac:dyDescent="0.3">
      <c r="A10" s="28" t="s">
        <v>181</v>
      </c>
      <c r="B10" s="16" t="s">
        <v>182</v>
      </c>
      <c r="C10" s="29" t="s">
        <v>167</v>
      </c>
      <c r="D10" s="30" t="str">
        <f t="shared" si="0"/>
        <v>V6|Arrendada</v>
      </c>
    </row>
    <row r="11" spans="1:6" ht="21.75" customHeight="1" x14ac:dyDescent="0.3">
      <c r="A11" s="28" t="s">
        <v>186</v>
      </c>
      <c r="B11" s="16" t="s">
        <v>187</v>
      </c>
      <c r="C11" s="29" t="s">
        <v>157</v>
      </c>
      <c r="D11" s="30" t="str">
        <f t="shared" si="0"/>
        <v>V7|No</v>
      </c>
    </row>
    <row r="12" spans="1:6" ht="21.75" customHeight="1" x14ac:dyDescent="0.3">
      <c r="A12" s="28" t="s">
        <v>190</v>
      </c>
      <c r="B12" s="16" t="s">
        <v>191</v>
      </c>
      <c r="C12" s="29" t="s">
        <v>146</v>
      </c>
      <c r="D12" s="30" t="str">
        <f t="shared" si="0"/>
        <v>V8|Carro</v>
      </c>
    </row>
    <row r="13" spans="1:6" ht="21.75" customHeight="1" x14ac:dyDescent="0.3">
      <c r="A13" s="28" t="s">
        <v>194</v>
      </c>
      <c r="B13" s="16" t="s">
        <v>195</v>
      </c>
      <c r="C13" s="29" t="s">
        <v>145</v>
      </c>
      <c r="D13" s="30" t="str">
        <f t="shared" si="0"/>
        <v>V9|Sí</v>
      </c>
    </row>
    <row r="14" spans="1:6" ht="21.75" customHeight="1" x14ac:dyDescent="0.3">
      <c r="A14" s="28" t="s">
        <v>197</v>
      </c>
      <c r="B14" s="16" t="s">
        <v>198</v>
      </c>
      <c r="C14" s="29" t="s">
        <v>157</v>
      </c>
      <c r="D14" s="30" t="str">
        <f t="shared" si="0"/>
        <v>V10|No</v>
      </c>
    </row>
    <row r="15" spans="1:6" ht="21.75" customHeight="1" x14ac:dyDescent="0.3">
      <c r="A15" s="28" t="s">
        <v>200</v>
      </c>
      <c r="B15" s="16" t="s">
        <v>201</v>
      </c>
      <c r="C15" s="29" t="s">
        <v>157</v>
      </c>
      <c r="D15" s="30" t="str">
        <f t="shared" si="0"/>
        <v>V11|No</v>
      </c>
    </row>
    <row r="18" spans="1:12" ht="15" customHeight="1" x14ac:dyDescent="0.3">
      <c r="A18" s="2" t="s">
        <v>284</v>
      </c>
      <c r="B18" s="2"/>
      <c r="C18" s="2"/>
      <c r="D18" s="2"/>
      <c r="E18" s="2"/>
      <c r="F18" s="2"/>
    </row>
    <row r="19" spans="1:12" ht="45.75" customHeight="1" x14ac:dyDescent="0.3">
      <c r="A19" s="11" t="s">
        <v>121</v>
      </c>
      <c r="B19" s="11" t="s">
        <v>208</v>
      </c>
      <c r="C19" s="11" t="s">
        <v>209</v>
      </c>
      <c r="D19" s="11" t="s">
        <v>210</v>
      </c>
      <c r="E19" s="11" t="s">
        <v>211</v>
      </c>
      <c r="F19" s="11" t="s">
        <v>212</v>
      </c>
      <c r="G19" s="11" t="s">
        <v>213</v>
      </c>
      <c r="H19" s="11" t="s">
        <v>214</v>
      </c>
      <c r="I19" s="11" t="s">
        <v>215</v>
      </c>
      <c r="J19" s="11" t="s">
        <v>216</v>
      </c>
      <c r="K19" s="11" t="s">
        <v>217</v>
      </c>
      <c r="L19" s="11" t="s">
        <v>218</v>
      </c>
    </row>
    <row r="20" spans="1:12" ht="15.75" customHeight="1" x14ac:dyDescent="0.3">
      <c r="A20" s="31" t="s">
        <v>136</v>
      </c>
      <c r="B20" s="23">
        <f>IFERROR(INDEX('Matriz de Pesos'!$D$4:$D$36,MATCH($D$5,'Matriz de Pesos'!$A$4:$A$36,0)),0)</f>
        <v>5</v>
      </c>
      <c r="C20" s="23">
        <f>IFERROR(INDEX('Matriz de Pesos'!$E$4:$E$36,MATCH($D$5,'Matriz de Pesos'!$A$4:$A$36,0)),0)</f>
        <v>2</v>
      </c>
      <c r="D20" s="23">
        <f>IFERROR(INDEX('Matriz de Pesos'!$F$4:$F$36,MATCH($D$5,'Matriz de Pesos'!$A$4:$A$36,0)),0)</f>
        <v>3</v>
      </c>
      <c r="E20" s="23">
        <f>IFERROR(INDEX('Matriz de Pesos'!$G$4:$G$36,MATCH($D$5,'Matriz de Pesos'!$A$4:$A$36,0)),0)</f>
        <v>2</v>
      </c>
      <c r="F20" s="23">
        <f>IFERROR(INDEX('Matriz de Pesos'!$H$4:$H$36,MATCH($D$5,'Matriz de Pesos'!$A$4:$A$36,0)),0)</f>
        <v>3</v>
      </c>
      <c r="G20" s="23">
        <f>IFERROR(INDEX('Matriz de Pesos'!$I$4:$I$36,MATCH($D$5,'Matriz de Pesos'!$A$4:$A$36,0)),0)</f>
        <v>2</v>
      </c>
      <c r="H20" s="23">
        <f>IFERROR(INDEX('Matriz de Pesos'!$J$4:$J$36,MATCH($D$5,'Matriz de Pesos'!$A$4:$A$36,0)),0)</f>
        <v>3</v>
      </c>
      <c r="I20" s="24">
        <f>IFERROR(INDEX('Matriz de Pesos'!$K$4:$K$36,MATCH($D$5,'Matriz de Pesos'!$A$4:$A$36,0)),0)</f>
        <v>4</v>
      </c>
      <c r="J20" s="24">
        <f>IFERROR(INDEX('Matriz de Pesos'!$L$4:$L$36,MATCH($D$5,'Matriz de Pesos'!$A$4:$A$36,0)),0)</f>
        <v>4</v>
      </c>
      <c r="K20" s="24">
        <f>IFERROR(INDEX('Matriz de Pesos'!$M$4:$M$36,MATCH($D$5,'Matriz de Pesos'!$A$4:$A$36,0)),0)</f>
        <v>2</v>
      </c>
      <c r="L20" s="24">
        <f>IFERROR(INDEX('Matriz de Pesos'!$N$4:$N$36,MATCH($D$5,'Matriz de Pesos'!$A$4:$A$36,0)),0)</f>
        <v>3</v>
      </c>
    </row>
    <row r="21" spans="1:12" ht="15.75" customHeight="1" x14ac:dyDescent="0.3">
      <c r="A21" s="31" t="s">
        <v>148</v>
      </c>
      <c r="B21" s="23">
        <f>IFERROR(INDEX('Matriz de Pesos'!$D$4:$D$36,MATCH($D$6,'Matriz de Pesos'!$A$4:$A$36,0)),0)</f>
        <v>4</v>
      </c>
      <c r="C21" s="23">
        <f>IFERROR(INDEX('Matriz de Pesos'!$E$4:$E$36,MATCH($D$6,'Matriz de Pesos'!$A$4:$A$36,0)),0)</f>
        <v>2</v>
      </c>
      <c r="D21" s="23">
        <f>IFERROR(INDEX('Matriz de Pesos'!$F$4:$F$36,MATCH($D$6,'Matriz de Pesos'!$A$4:$A$36,0)),0)</f>
        <v>3</v>
      </c>
      <c r="E21" s="23">
        <f>IFERROR(INDEX('Matriz de Pesos'!$G$4:$G$36,MATCH($D$6,'Matriz de Pesos'!$A$4:$A$36,0)),0)</f>
        <v>4</v>
      </c>
      <c r="F21" s="23">
        <f>IFERROR(INDEX('Matriz de Pesos'!$H$4:$H$36,MATCH($D$6,'Matriz de Pesos'!$A$4:$A$36,0)),0)</f>
        <v>3</v>
      </c>
      <c r="G21" s="23">
        <f>IFERROR(INDEX('Matriz de Pesos'!$I$4:$I$36,MATCH($D$6,'Matriz de Pesos'!$A$4:$A$36,0)),0)</f>
        <v>3</v>
      </c>
      <c r="H21" s="23">
        <f>IFERROR(INDEX('Matriz de Pesos'!$J$4:$J$36,MATCH($D$6,'Matriz de Pesos'!$A$4:$A$36,0)),0)</f>
        <v>4</v>
      </c>
      <c r="I21" s="24">
        <f>IFERROR(INDEX('Matriz de Pesos'!$K$4:$K$36,MATCH($D$6,'Matriz de Pesos'!$A$4:$A$36,0)),0)</f>
        <v>2</v>
      </c>
      <c r="J21" s="24">
        <f>IFERROR(INDEX('Matriz de Pesos'!$L$4:$L$36,MATCH($D$6,'Matriz de Pesos'!$A$4:$A$36,0)),0)</f>
        <v>2</v>
      </c>
      <c r="K21" s="24">
        <f>IFERROR(INDEX('Matriz de Pesos'!$M$4:$M$36,MATCH($D$6,'Matriz de Pesos'!$A$4:$A$36,0)),0)</f>
        <v>2</v>
      </c>
      <c r="L21" s="24">
        <f>IFERROR(INDEX('Matriz de Pesos'!$N$4:$N$36,MATCH($D$6,'Matriz de Pesos'!$A$4:$A$36,0)),0)</f>
        <v>2</v>
      </c>
    </row>
    <row r="22" spans="1:12" ht="15.75" customHeight="1" x14ac:dyDescent="0.3">
      <c r="A22" s="31" t="s">
        <v>160</v>
      </c>
      <c r="B22" s="23">
        <f>IFERROR(INDEX('Matriz de Pesos'!$D$4:$D$36,MATCH($D$7,'Matriz de Pesos'!$A$4:$A$36,0)),0)</f>
        <v>5</v>
      </c>
      <c r="C22" s="23">
        <f>IFERROR(INDEX('Matriz de Pesos'!$E$4:$E$36,MATCH($D$7,'Matriz de Pesos'!$A$4:$A$36,0)),0)</f>
        <v>4</v>
      </c>
      <c r="D22" s="23">
        <f>IFERROR(INDEX('Matriz de Pesos'!$F$4:$F$36,MATCH($D$7,'Matriz de Pesos'!$A$4:$A$36,0)),0)</f>
        <v>4</v>
      </c>
      <c r="E22" s="23">
        <f>IFERROR(INDEX('Matriz de Pesos'!$G$4:$G$36,MATCH($D$7,'Matriz de Pesos'!$A$4:$A$36,0)),0)</f>
        <v>3</v>
      </c>
      <c r="F22" s="23">
        <f>IFERROR(INDEX('Matriz de Pesos'!$H$4:$H$36,MATCH($D$7,'Matriz de Pesos'!$A$4:$A$36,0)),0)</f>
        <v>4</v>
      </c>
      <c r="G22" s="23">
        <f>IFERROR(INDEX('Matriz de Pesos'!$I$4:$I$36,MATCH($D$7,'Matriz de Pesos'!$A$4:$A$36,0)),0)</f>
        <v>2</v>
      </c>
      <c r="H22" s="23">
        <f>IFERROR(INDEX('Matriz de Pesos'!$J$4:$J$36,MATCH($D$7,'Matriz de Pesos'!$A$4:$A$36,0)),0)</f>
        <v>2</v>
      </c>
      <c r="I22" s="24">
        <f>IFERROR(INDEX('Matriz de Pesos'!$K$4:$K$36,MATCH($D$7,'Matriz de Pesos'!$A$4:$A$36,0)),0)</f>
        <v>3</v>
      </c>
      <c r="J22" s="24">
        <f>IFERROR(INDEX('Matriz de Pesos'!$L$4:$L$36,MATCH($D$7,'Matriz de Pesos'!$A$4:$A$36,0)),0)</f>
        <v>3</v>
      </c>
      <c r="K22" s="24">
        <f>IFERROR(INDEX('Matriz de Pesos'!$M$4:$M$36,MATCH($D$7,'Matriz de Pesos'!$A$4:$A$36,0)),0)</f>
        <v>2</v>
      </c>
      <c r="L22" s="24">
        <f>IFERROR(INDEX('Matriz de Pesos'!$N$4:$N$36,MATCH($D$7,'Matriz de Pesos'!$A$4:$A$36,0)),0)</f>
        <v>3</v>
      </c>
    </row>
    <row r="23" spans="1:12" ht="15.75" customHeight="1" x14ac:dyDescent="0.3">
      <c r="A23" s="31" t="s">
        <v>170</v>
      </c>
      <c r="B23" s="23">
        <f>IFERROR(INDEX('Matriz de Pesos'!$D$4:$D$36,MATCH($D$8,'Matriz de Pesos'!$A$4:$A$36,0)),0)</f>
        <v>3</v>
      </c>
      <c r="C23" s="23">
        <f>IFERROR(INDEX('Matriz de Pesos'!$E$4:$E$36,MATCH($D$8,'Matriz de Pesos'!$A$4:$A$36,0)),0)</f>
        <v>3</v>
      </c>
      <c r="D23" s="23">
        <f>IFERROR(INDEX('Matriz de Pesos'!$F$4:$F$36,MATCH($D$8,'Matriz de Pesos'!$A$4:$A$36,0)),0)</f>
        <v>3</v>
      </c>
      <c r="E23" s="23">
        <f>IFERROR(INDEX('Matriz de Pesos'!$G$4:$G$36,MATCH($D$8,'Matriz de Pesos'!$A$4:$A$36,0)),0)</f>
        <v>3</v>
      </c>
      <c r="F23" s="23">
        <f>IFERROR(INDEX('Matriz de Pesos'!$H$4:$H$36,MATCH($D$8,'Matriz de Pesos'!$A$4:$A$36,0)),0)</f>
        <v>3</v>
      </c>
      <c r="G23" s="23">
        <f>IFERROR(INDEX('Matriz de Pesos'!$I$4:$I$36,MATCH($D$8,'Matriz de Pesos'!$A$4:$A$36,0)),0)</f>
        <v>2</v>
      </c>
      <c r="H23" s="23">
        <f>IFERROR(INDEX('Matriz de Pesos'!$J$4:$J$36,MATCH($D$8,'Matriz de Pesos'!$A$4:$A$36,0)),0)</f>
        <v>3</v>
      </c>
      <c r="I23" s="24">
        <f>IFERROR(INDEX('Matriz de Pesos'!$K$4:$K$36,MATCH($D$8,'Matriz de Pesos'!$A$4:$A$36,0)),0)</f>
        <v>3</v>
      </c>
      <c r="J23" s="24">
        <f>IFERROR(INDEX('Matriz de Pesos'!$L$4:$L$36,MATCH($D$8,'Matriz de Pesos'!$A$4:$A$36,0)),0)</f>
        <v>3</v>
      </c>
      <c r="K23" s="24">
        <f>IFERROR(INDEX('Matriz de Pesos'!$M$4:$M$36,MATCH($D$8,'Matriz de Pesos'!$A$4:$A$36,0)),0)</f>
        <v>2</v>
      </c>
      <c r="L23" s="24">
        <f>IFERROR(INDEX('Matriz de Pesos'!$N$4:$N$36,MATCH($D$8,'Matriz de Pesos'!$A$4:$A$36,0)),0)</f>
        <v>2</v>
      </c>
    </row>
    <row r="24" spans="1:12" ht="15.75" customHeight="1" x14ac:dyDescent="0.3">
      <c r="A24" s="31" t="s">
        <v>176</v>
      </c>
      <c r="B24" s="23">
        <f>IFERROR(INDEX('Matriz de Pesos'!$D$4:$D$36,MATCH($D$9,'Matriz de Pesos'!$A$4:$A$36,0)),0)</f>
        <v>5</v>
      </c>
      <c r="C24" s="23">
        <f>IFERROR(INDEX('Matriz de Pesos'!$E$4:$E$36,MATCH($D$9,'Matriz de Pesos'!$A$4:$A$36,0)),0)</f>
        <v>3</v>
      </c>
      <c r="D24" s="23">
        <f>IFERROR(INDEX('Matriz de Pesos'!$F$4:$F$36,MATCH($D$9,'Matriz de Pesos'!$A$4:$A$36,0)),0)</f>
        <v>4</v>
      </c>
      <c r="E24" s="23">
        <f>IFERROR(INDEX('Matriz de Pesos'!$G$4:$G$36,MATCH($D$9,'Matriz de Pesos'!$A$4:$A$36,0)),0)</f>
        <v>3</v>
      </c>
      <c r="F24" s="23">
        <f>IFERROR(INDEX('Matriz de Pesos'!$H$4:$H$36,MATCH($D$9,'Matriz de Pesos'!$A$4:$A$36,0)),0)</f>
        <v>5</v>
      </c>
      <c r="G24" s="23">
        <f>IFERROR(INDEX('Matriz de Pesos'!$I$4:$I$36,MATCH($D$9,'Matriz de Pesos'!$A$4:$A$36,0)),0)</f>
        <v>3</v>
      </c>
      <c r="H24" s="23">
        <f>IFERROR(INDEX('Matriz de Pesos'!$J$4:$J$36,MATCH($D$9,'Matriz de Pesos'!$A$4:$A$36,0)),0)</f>
        <v>2</v>
      </c>
      <c r="I24" s="24">
        <f>IFERROR(INDEX('Matriz de Pesos'!$K$4:$K$36,MATCH($D$9,'Matriz de Pesos'!$A$4:$A$36,0)),0)</f>
        <v>3</v>
      </c>
      <c r="J24" s="24">
        <f>IFERROR(INDEX('Matriz de Pesos'!$L$4:$L$36,MATCH($D$9,'Matriz de Pesos'!$A$4:$A$36,0)),0)</f>
        <v>4</v>
      </c>
      <c r="K24" s="24">
        <f>IFERROR(INDEX('Matriz de Pesos'!$M$4:$M$36,MATCH($D$9,'Matriz de Pesos'!$A$4:$A$36,0)),0)</f>
        <v>1</v>
      </c>
      <c r="L24" s="24">
        <f>IFERROR(INDEX('Matriz de Pesos'!$N$4:$N$36,MATCH($D$9,'Matriz de Pesos'!$A$4:$A$36,0)),0)</f>
        <v>1</v>
      </c>
    </row>
    <row r="25" spans="1:12" ht="15.75" customHeight="1" x14ac:dyDescent="0.3">
      <c r="A25" s="31" t="s">
        <v>182</v>
      </c>
      <c r="B25" s="23">
        <f>IFERROR(INDEX('Matriz de Pesos'!$D$4:$D$36,MATCH($D$10,'Matriz de Pesos'!$A$4:$A$36,0)),0)</f>
        <v>1</v>
      </c>
      <c r="C25" s="23">
        <f>IFERROR(INDEX('Matriz de Pesos'!$E$4:$E$36,MATCH($D$10,'Matriz de Pesos'!$A$4:$A$36,0)),0)</f>
        <v>1</v>
      </c>
      <c r="D25" s="23">
        <f>IFERROR(INDEX('Matriz de Pesos'!$F$4:$F$36,MATCH($D$10,'Matriz de Pesos'!$A$4:$A$36,0)),0)</f>
        <v>1</v>
      </c>
      <c r="E25" s="23">
        <f>IFERROR(INDEX('Matriz de Pesos'!$G$4:$G$36,MATCH($D$10,'Matriz de Pesos'!$A$4:$A$36,0)),0)</f>
        <v>1</v>
      </c>
      <c r="F25" s="23">
        <f>IFERROR(INDEX('Matriz de Pesos'!$H$4:$H$36,MATCH($D$10,'Matriz de Pesos'!$A$4:$A$36,0)),0)</f>
        <v>1</v>
      </c>
      <c r="G25" s="23">
        <f>IFERROR(INDEX('Matriz de Pesos'!$I$4:$I$36,MATCH($D$10,'Matriz de Pesos'!$A$4:$A$36,0)),0)</f>
        <v>1</v>
      </c>
      <c r="H25" s="23">
        <f>IFERROR(INDEX('Matriz de Pesos'!$J$4:$J$36,MATCH($D$10,'Matriz de Pesos'!$A$4:$A$36,0)),0)</f>
        <v>2</v>
      </c>
      <c r="I25" s="24">
        <f>IFERROR(INDEX('Matriz de Pesos'!$K$4:$K$36,MATCH($D$10,'Matriz de Pesos'!$A$4:$A$36,0)),0)</f>
        <v>1</v>
      </c>
      <c r="J25" s="24">
        <f>IFERROR(INDEX('Matriz de Pesos'!$L$4:$L$36,MATCH($D$10,'Matriz de Pesos'!$A$4:$A$36,0)),0)</f>
        <v>1</v>
      </c>
      <c r="K25" s="24">
        <f>IFERROR(INDEX('Matriz de Pesos'!$M$4:$M$36,MATCH($D$10,'Matriz de Pesos'!$A$4:$A$36,0)),0)</f>
        <v>1</v>
      </c>
      <c r="L25" s="24">
        <f>IFERROR(INDEX('Matriz de Pesos'!$N$4:$N$36,MATCH($D$10,'Matriz de Pesos'!$A$4:$A$36,0)),0)</f>
        <v>0</v>
      </c>
    </row>
    <row r="26" spans="1:12" ht="15.75" customHeight="1" x14ac:dyDescent="0.3">
      <c r="A26" s="31" t="s">
        <v>187</v>
      </c>
      <c r="B26" s="23">
        <f>IFERROR(INDEX('Matriz de Pesos'!$D$4:$D$36,MATCH($D$11,'Matriz de Pesos'!$A$4:$A$36,0)),0)</f>
        <v>0</v>
      </c>
      <c r="C26" s="23">
        <f>IFERROR(INDEX('Matriz de Pesos'!$E$4:$E$36,MATCH($D$11,'Matriz de Pesos'!$A$4:$A$36,0)),0)</f>
        <v>0</v>
      </c>
      <c r="D26" s="23">
        <f>IFERROR(INDEX('Matriz de Pesos'!$F$4:$F$36,MATCH($D$11,'Matriz de Pesos'!$A$4:$A$36,0)),0)</f>
        <v>0</v>
      </c>
      <c r="E26" s="23">
        <f>IFERROR(INDEX('Matriz de Pesos'!$G$4:$G$36,MATCH($D$11,'Matriz de Pesos'!$A$4:$A$36,0)),0)</f>
        <v>0</v>
      </c>
      <c r="F26" s="23">
        <f>IFERROR(INDEX('Matriz de Pesos'!$H$4:$H$36,MATCH($D$11,'Matriz de Pesos'!$A$4:$A$36,0)),0)</f>
        <v>0</v>
      </c>
      <c r="G26" s="23">
        <f>IFERROR(INDEX('Matriz de Pesos'!$I$4:$I$36,MATCH($D$11,'Matriz de Pesos'!$A$4:$A$36,0)),0)</f>
        <v>0</v>
      </c>
      <c r="H26" s="23">
        <f>IFERROR(INDEX('Matriz de Pesos'!$J$4:$J$36,MATCH($D$11,'Matriz de Pesos'!$A$4:$A$36,0)),0)</f>
        <v>0</v>
      </c>
      <c r="I26" s="24">
        <f>IFERROR(INDEX('Matriz de Pesos'!$K$4:$K$36,MATCH($D$11,'Matriz de Pesos'!$A$4:$A$36,0)),0)</f>
        <v>0</v>
      </c>
      <c r="J26" s="24">
        <f>IFERROR(INDEX('Matriz de Pesos'!$L$4:$L$36,MATCH($D$11,'Matriz de Pesos'!$A$4:$A$36,0)),0)</f>
        <v>0</v>
      </c>
      <c r="K26" s="24">
        <f>IFERROR(INDEX('Matriz de Pesos'!$M$4:$M$36,MATCH($D$11,'Matriz de Pesos'!$A$4:$A$36,0)),0)</f>
        <v>0</v>
      </c>
      <c r="L26" s="24">
        <f>IFERROR(INDEX('Matriz de Pesos'!$N$4:$N$36,MATCH($D$11,'Matriz de Pesos'!$A$4:$A$36,0)),0)</f>
        <v>0</v>
      </c>
    </row>
    <row r="27" spans="1:12" ht="15.75" customHeight="1" x14ac:dyDescent="0.3">
      <c r="A27" s="31" t="s">
        <v>191</v>
      </c>
      <c r="B27" s="23">
        <f>IFERROR(INDEX('Matriz de Pesos'!$D$4:$D$36,MATCH($D$12,'Matriz de Pesos'!$A$4:$A$36,0)),0)</f>
        <v>1</v>
      </c>
      <c r="C27" s="23">
        <f>IFERROR(INDEX('Matriz de Pesos'!$E$4:$E$36,MATCH($D$12,'Matriz de Pesos'!$A$4:$A$36,0)),0)</f>
        <v>1</v>
      </c>
      <c r="D27" s="23">
        <f>IFERROR(INDEX('Matriz de Pesos'!$F$4:$F$36,MATCH($D$12,'Matriz de Pesos'!$A$4:$A$36,0)),0)</f>
        <v>0</v>
      </c>
      <c r="E27" s="23">
        <f>IFERROR(INDEX('Matriz de Pesos'!$G$4:$G$36,MATCH($D$12,'Matriz de Pesos'!$A$4:$A$36,0)),0)</f>
        <v>0</v>
      </c>
      <c r="F27" s="23">
        <f>IFERROR(INDEX('Matriz de Pesos'!$H$4:$H$36,MATCH($D$12,'Matriz de Pesos'!$A$4:$A$36,0)),0)</f>
        <v>0</v>
      </c>
      <c r="G27" s="23">
        <f>IFERROR(INDEX('Matriz de Pesos'!$I$4:$I$36,MATCH($D$12,'Matriz de Pesos'!$A$4:$A$36,0)),0)</f>
        <v>0</v>
      </c>
      <c r="H27" s="23">
        <f>IFERROR(INDEX('Matriz de Pesos'!$J$4:$J$36,MATCH($D$12,'Matriz de Pesos'!$A$4:$A$36,0)),0)</f>
        <v>0</v>
      </c>
      <c r="I27" s="24">
        <f>IFERROR(INDEX('Matriz de Pesos'!$K$4:$K$36,MATCH($D$12,'Matriz de Pesos'!$A$4:$A$36,0)),0)</f>
        <v>5</v>
      </c>
      <c r="J27" s="24">
        <f>IFERROR(INDEX('Matriz de Pesos'!$L$4:$L$36,MATCH($D$12,'Matriz de Pesos'!$A$4:$A$36,0)),0)</f>
        <v>0</v>
      </c>
      <c r="K27" s="24">
        <f>IFERROR(INDEX('Matriz de Pesos'!$M$4:$M$36,MATCH($D$12,'Matriz de Pesos'!$A$4:$A$36,0)),0)</f>
        <v>0</v>
      </c>
      <c r="L27" s="24">
        <f>IFERROR(INDEX('Matriz de Pesos'!$N$4:$N$36,MATCH($D$12,'Matriz de Pesos'!$A$4:$A$36,0)),0)</f>
        <v>0</v>
      </c>
    </row>
    <row r="28" spans="1:12" ht="15.75" customHeight="1" x14ac:dyDescent="0.3">
      <c r="A28" s="31" t="s">
        <v>195</v>
      </c>
      <c r="B28" s="23">
        <f>IFERROR(INDEX('Matriz de Pesos'!$D$4:$D$36,MATCH($D$13,'Matriz de Pesos'!$A$4:$A$36,0)),0)</f>
        <v>0</v>
      </c>
      <c r="C28" s="23">
        <f>IFERROR(INDEX('Matriz de Pesos'!$E$4:$E$36,MATCH($D$13,'Matriz de Pesos'!$A$4:$A$36,0)),0)</f>
        <v>0</v>
      </c>
      <c r="D28" s="23">
        <f>IFERROR(INDEX('Matriz de Pesos'!$F$4:$F$36,MATCH($D$13,'Matriz de Pesos'!$A$4:$A$36,0)),0)</f>
        <v>0</v>
      </c>
      <c r="E28" s="23">
        <f>IFERROR(INDEX('Matriz de Pesos'!$G$4:$G$36,MATCH($D$13,'Matriz de Pesos'!$A$4:$A$36,0)),0)</f>
        <v>0</v>
      </c>
      <c r="F28" s="23">
        <f>IFERROR(INDEX('Matriz de Pesos'!$H$4:$H$36,MATCH($D$13,'Matriz de Pesos'!$A$4:$A$36,0)),0)</f>
        <v>0</v>
      </c>
      <c r="G28" s="23">
        <f>IFERROR(INDEX('Matriz de Pesos'!$I$4:$I$36,MATCH($D$13,'Matriz de Pesos'!$A$4:$A$36,0)),0)</f>
        <v>0</v>
      </c>
      <c r="H28" s="23">
        <f>IFERROR(INDEX('Matriz de Pesos'!$J$4:$J$36,MATCH($D$13,'Matriz de Pesos'!$A$4:$A$36,0)),0)</f>
        <v>5</v>
      </c>
      <c r="I28" s="24">
        <f>IFERROR(INDEX('Matriz de Pesos'!$K$4:$K$36,MATCH($D$13,'Matriz de Pesos'!$A$4:$A$36,0)),0)</f>
        <v>0</v>
      </c>
      <c r="J28" s="24">
        <f>IFERROR(INDEX('Matriz de Pesos'!$L$4:$L$36,MATCH($D$13,'Matriz de Pesos'!$A$4:$A$36,0)),0)</f>
        <v>0</v>
      </c>
      <c r="K28" s="24">
        <f>IFERROR(INDEX('Matriz de Pesos'!$M$4:$M$36,MATCH($D$13,'Matriz de Pesos'!$A$4:$A$36,0)),0)</f>
        <v>0</v>
      </c>
      <c r="L28" s="24">
        <f>IFERROR(INDEX('Matriz de Pesos'!$N$4:$N$36,MATCH($D$13,'Matriz de Pesos'!$A$4:$A$36,0)),0)</f>
        <v>0</v>
      </c>
    </row>
    <row r="29" spans="1:12" ht="15.75" customHeight="1" x14ac:dyDescent="0.3">
      <c r="A29" s="31" t="s">
        <v>198</v>
      </c>
      <c r="B29" s="23">
        <f>IFERROR(INDEX('Matriz de Pesos'!$D$4:$D$36,MATCH($D$14,'Matriz de Pesos'!$A$4:$A$36,0)),0)</f>
        <v>0</v>
      </c>
      <c r="C29" s="23">
        <f>IFERROR(INDEX('Matriz de Pesos'!$E$4:$E$36,MATCH($D$14,'Matriz de Pesos'!$A$4:$A$36,0)),0)</f>
        <v>0</v>
      </c>
      <c r="D29" s="23">
        <f>IFERROR(INDEX('Matriz de Pesos'!$F$4:$F$36,MATCH($D$14,'Matriz de Pesos'!$A$4:$A$36,0)),0)</f>
        <v>0</v>
      </c>
      <c r="E29" s="23">
        <f>IFERROR(INDEX('Matriz de Pesos'!$G$4:$G$36,MATCH($D$14,'Matriz de Pesos'!$A$4:$A$36,0)),0)</f>
        <v>0</v>
      </c>
      <c r="F29" s="23">
        <f>IFERROR(INDEX('Matriz de Pesos'!$H$4:$H$36,MATCH($D$14,'Matriz de Pesos'!$A$4:$A$36,0)),0)</f>
        <v>0</v>
      </c>
      <c r="G29" s="23">
        <f>IFERROR(INDEX('Matriz de Pesos'!$I$4:$I$36,MATCH($D$14,'Matriz de Pesos'!$A$4:$A$36,0)),0)</f>
        <v>0</v>
      </c>
      <c r="H29" s="23">
        <f>IFERROR(INDEX('Matriz de Pesos'!$J$4:$J$36,MATCH($D$14,'Matriz de Pesos'!$A$4:$A$36,0)),0)</f>
        <v>0</v>
      </c>
      <c r="I29" s="24">
        <f>IFERROR(INDEX('Matriz de Pesos'!$K$4:$K$36,MATCH($D$14,'Matriz de Pesos'!$A$4:$A$36,0)),0)</f>
        <v>0</v>
      </c>
      <c r="J29" s="24">
        <f>IFERROR(INDEX('Matriz de Pesos'!$L$4:$L$36,MATCH($D$14,'Matriz de Pesos'!$A$4:$A$36,0)),0)</f>
        <v>0</v>
      </c>
      <c r="K29" s="24">
        <f>IFERROR(INDEX('Matriz de Pesos'!$M$4:$M$36,MATCH($D$14,'Matriz de Pesos'!$A$4:$A$36,0)),0)</f>
        <v>0</v>
      </c>
      <c r="L29" s="24">
        <f>IFERROR(INDEX('Matriz de Pesos'!$N$4:$N$36,MATCH($D$14,'Matriz de Pesos'!$A$4:$A$36,0)),0)</f>
        <v>0</v>
      </c>
    </row>
    <row r="30" spans="1:12" ht="15.75" customHeight="1" x14ac:dyDescent="0.3">
      <c r="A30" s="31" t="s">
        <v>201</v>
      </c>
      <c r="B30" s="23">
        <f>IFERROR(INDEX('Matriz de Pesos'!$D$4:$D$36,MATCH($D$15,'Matriz de Pesos'!$A$4:$A$36,0)),0)</f>
        <v>0</v>
      </c>
      <c r="C30" s="23">
        <f>IFERROR(INDEX('Matriz de Pesos'!$E$4:$E$36,MATCH($D$15,'Matriz de Pesos'!$A$4:$A$36,0)),0)</f>
        <v>0</v>
      </c>
      <c r="D30" s="23">
        <f>IFERROR(INDEX('Matriz de Pesos'!$F$4:$F$36,MATCH($D$15,'Matriz de Pesos'!$A$4:$A$36,0)),0)</f>
        <v>0</v>
      </c>
      <c r="E30" s="23">
        <f>IFERROR(INDEX('Matriz de Pesos'!$G$4:$G$36,MATCH($D$15,'Matriz de Pesos'!$A$4:$A$36,0)),0)</f>
        <v>0</v>
      </c>
      <c r="F30" s="23">
        <f>IFERROR(INDEX('Matriz de Pesos'!$H$4:$H$36,MATCH($D$15,'Matriz de Pesos'!$A$4:$A$36,0)),0)</f>
        <v>0</v>
      </c>
      <c r="G30" s="23">
        <f>IFERROR(INDEX('Matriz de Pesos'!$I$4:$I$36,MATCH($D$15,'Matriz de Pesos'!$A$4:$A$36,0)),0)</f>
        <v>0</v>
      </c>
      <c r="H30" s="23">
        <f>IFERROR(INDEX('Matriz de Pesos'!$J$4:$J$36,MATCH($D$15,'Matriz de Pesos'!$A$4:$A$36,0)),0)</f>
        <v>0</v>
      </c>
      <c r="I30" s="24">
        <f>IFERROR(INDEX('Matriz de Pesos'!$K$4:$K$36,MATCH($D$15,'Matriz de Pesos'!$A$4:$A$36,0)),0)</f>
        <v>0</v>
      </c>
      <c r="J30" s="24">
        <f>IFERROR(INDEX('Matriz de Pesos'!$L$4:$L$36,MATCH($D$15,'Matriz de Pesos'!$A$4:$A$36,0)),0)</f>
        <v>0</v>
      </c>
      <c r="K30" s="24">
        <f>IFERROR(INDEX('Matriz de Pesos'!$M$4:$M$36,MATCH($D$15,'Matriz de Pesos'!$A$4:$A$36,0)),0)</f>
        <v>0</v>
      </c>
      <c r="L30" s="24">
        <f>IFERROR(INDEX('Matriz de Pesos'!$N$4:$N$36,MATCH($D$15,'Matriz de Pesos'!$A$4:$A$36,0)),0)</f>
        <v>0</v>
      </c>
    </row>
    <row r="31" spans="1:12" ht="15" customHeight="1" x14ac:dyDescent="0.3">
      <c r="A31" s="32" t="s">
        <v>285</v>
      </c>
      <c r="B31" s="27">
        <f t="shared" ref="B31:L31" si="1">SUM(B20:B30)</f>
        <v>24</v>
      </c>
      <c r="C31" s="27">
        <f t="shared" si="1"/>
        <v>16</v>
      </c>
      <c r="D31" s="27">
        <f t="shared" si="1"/>
        <v>18</v>
      </c>
      <c r="E31" s="27">
        <f t="shared" si="1"/>
        <v>16</v>
      </c>
      <c r="F31" s="27">
        <f t="shared" si="1"/>
        <v>19</v>
      </c>
      <c r="G31" s="27">
        <f t="shared" si="1"/>
        <v>13</v>
      </c>
      <c r="H31" s="27">
        <f t="shared" si="1"/>
        <v>21</v>
      </c>
      <c r="I31" s="27">
        <f t="shared" si="1"/>
        <v>21</v>
      </c>
      <c r="J31" s="27">
        <f t="shared" si="1"/>
        <v>17</v>
      </c>
      <c r="K31" s="27">
        <f t="shared" si="1"/>
        <v>10</v>
      </c>
      <c r="L31" s="27">
        <f t="shared" si="1"/>
        <v>11</v>
      </c>
    </row>
    <row r="34" spans="1:6" ht="15" customHeight="1" x14ac:dyDescent="0.3">
      <c r="A34" s="2" t="s">
        <v>286</v>
      </c>
      <c r="B34" s="2"/>
      <c r="C34" s="2"/>
      <c r="D34" s="2"/>
      <c r="E34" s="2"/>
      <c r="F34" s="2"/>
    </row>
    <row r="35" spans="1:6" ht="21.75" customHeight="1" x14ac:dyDescent="0.3">
      <c r="A35" s="11" t="s">
        <v>287</v>
      </c>
      <c r="B35" s="11" t="s">
        <v>288</v>
      </c>
      <c r="C35" s="11" t="s">
        <v>289</v>
      </c>
      <c r="D35" s="11" t="s">
        <v>290</v>
      </c>
      <c r="E35" s="11" t="s">
        <v>291</v>
      </c>
      <c r="F35" s="11" t="s">
        <v>292</v>
      </c>
    </row>
    <row r="36" spans="1:6" ht="18" customHeight="1" x14ac:dyDescent="0.3">
      <c r="A36" s="33">
        <f>RANK(D36,$D$36:$D$46)+COUNTIF($D$36:D36,D36)-1</f>
        <v>1</v>
      </c>
      <c r="B36" s="28" t="s">
        <v>208</v>
      </c>
      <c r="C36" s="34" t="s">
        <v>204</v>
      </c>
      <c r="D36" s="35">
        <f>B$31</f>
        <v>24</v>
      </c>
      <c r="E36" s="35">
        <f>'Matriz de Pesos'!$D$38</f>
        <v>31</v>
      </c>
      <c r="F36" s="36">
        <f t="shared" ref="F36:F46" si="2">IFERROR(D36/E36,0)</f>
        <v>0.77419354838709675</v>
      </c>
    </row>
    <row r="37" spans="1:6" ht="18" customHeight="1" x14ac:dyDescent="0.3">
      <c r="A37" s="33">
        <f>RANK(D37,$D$36:$D$46)+COUNTIF($D$36:D37,D37)-1</f>
        <v>7</v>
      </c>
      <c r="B37" s="28" t="s">
        <v>209</v>
      </c>
      <c r="C37" s="34" t="s">
        <v>204</v>
      </c>
      <c r="D37" s="35">
        <f>C$31</f>
        <v>16</v>
      </c>
      <c r="E37" s="35">
        <f>'Matriz de Pesos'!$E$38</f>
        <v>24</v>
      </c>
      <c r="F37" s="36">
        <f t="shared" si="2"/>
        <v>0.66666666666666663</v>
      </c>
    </row>
    <row r="38" spans="1:6" ht="18" customHeight="1" x14ac:dyDescent="0.3">
      <c r="A38" s="33">
        <f>RANK(D38,$D$36:$D$46)+COUNTIF($D$36:D38,D38)-1</f>
        <v>5</v>
      </c>
      <c r="B38" s="28" t="s">
        <v>210</v>
      </c>
      <c r="C38" s="34" t="s">
        <v>204</v>
      </c>
      <c r="D38" s="35">
        <f>D$31</f>
        <v>18</v>
      </c>
      <c r="E38" s="35">
        <f>'Matriz de Pesos'!$F$38</f>
        <v>23</v>
      </c>
      <c r="F38" s="36">
        <f t="shared" si="2"/>
        <v>0.78260869565217395</v>
      </c>
    </row>
    <row r="39" spans="1:6" ht="18" customHeight="1" x14ac:dyDescent="0.3">
      <c r="A39" s="33">
        <f>RANK(D39,$D$36:$D$46)+COUNTIF($D$36:D39,D39)-1</f>
        <v>8</v>
      </c>
      <c r="B39" s="28" t="s">
        <v>211</v>
      </c>
      <c r="C39" s="34" t="s">
        <v>204</v>
      </c>
      <c r="D39" s="35">
        <f>E$31</f>
        <v>16</v>
      </c>
      <c r="E39" s="35">
        <f>'Matriz de Pesos'!$G$38</f>
        <v>21</v>
      </c>
      <c r="F39" s="36">
        <f t="shared" si="2"/>
        <v>0.76190476190476186</v>
      </c>
    </row>
    <row r="40" spans="1:6" ht="18" customHeight="1" x14ac:dyDescent="0.3">
      <c r="A40" s="33">
        <f>RANK(D40,$D$36:$D$46)+COUNTIF($D$36:D40,D40)-1</f>
        <v>4</v>
      </c>
      <c r="B40" s="28" t="s">
        <v>212</v>
      </c>
      <c r="C40" s="34" t="s">
        <v>204</v>
      </c>
      <c r="D40" s="35">
        <f>F$31</f>
        <v>19</v>
      </c>
      <c r="E40" s="35">
        <f>'Matriz de Pesos'!$H$38</f>
        <v>24</v>
      </c>
      <c r="F40" s="36">
        <f t="shared" si="2"/>
        <v>0.79166666666666663</v>
      </c>
    </row>
    <row r="41" spans="1:6" ht="18" customHeight="1" x14ac:dyDescent="0.3">
      <c r="A41" s="33">
        <f>RANK(D41,$D$36:$D$46)+COUNTIF($D$36:D41,D41)-1</f>
        <v>9</v>
      </c>
      <c r="B41" s="28" t="s">
        <v>213</v>
      </c>
      <c r="C41" s="34" t="s">
        <v>204</v>
      </c>
      <c r="D41" s="35">
        <f>G$31</f>
        <v>13</v>
      </c>
      <c r="E41" s="35">
        <f>'Matriz de Pesos'!$I$38</f>
        <v>24</v>
      </c>
      <c r="F41" s="36">
        <f t="shared" si="2"/>
        <v>0.54166666666666663</v>
      </c>
    </row>
    <row r="42" spans="1:6" ht="18" customHeight="1" x14ac:dyDescent="0.3">
      <c r="A42" s="33">
        <f>RANK(D42,$D$36:$D$46)+COUNTIF($D$36:D42,D42)-1</f>
        <v>2</v>
      </c>
      <c r="B42" s="28" t="s">
        <v>214</v>
      </c>
      <c r="C42" s="34" t="s">
        <v>204</v>
      </c>
      <c r="D42" s="35">
        <f>H$31</f>
        <v>21</v>
      </c>
      <c r="E42" s="35">
        <f>'Matriz de Pesos'!$J$38</f>
        <v>25</v>
      </c>
      <c r="F42" s="36">
        <f t="shared" si="2"/>
        <v>0.84</v>
      </c>
    </row>
    <row r="43" spans="1:6" ht="18" customHeight="1" x14ac:dyDescent="0.3">
      <c r="A43" s="33">
        <f>RANK(D43,$D$36:$D$46)+COUNTIF($D$36:D43,D43)-1</f>
        <v>3</v>
      </c>
      <c r="B43" s="28" t="s">
        <v>215</v>
      </c>
      <c r="C43" s="37" t="s">
        <v>205</v>
      </c>
      <c r="D43" s="35">
        <f>I$31</f>
        <v>21</v>
      </c>
      <c r="E43" s="35">
        <f>'Matriz de Pesos'!$K$38</f>
        <v>25</v>
      </c>
      <c r="F43" s="36">
        <f t="shared" si="2"/>
        <v>0.84</v>
      </c>
    </row>
    <row r="44" spans="1:6" ht="18" customHeight="1" x14ac:dyDescent="0.3">
      <c r="A44" s="33">
        <f>RANK(D44,$D$36:$D$46)+COUNTIF($D$36:D44,D44)-1</f>
        <v>6</v>
      </c>
      <c r="B44" s="28" t="s">
        <v>216</v>
      </c>
      <c r="C44" s="37" t="s">
        <v>205</v>
      </c>
      <c r="D44" s="35">
        <f>J$31</f>
        <v>17</v>
      </c>
      <c r="E44" s="35">
        <f>'Matriz de Pesos'!$L$38</f>
        <v>24</v>
      </c>
      <c r="F44" s="36">
        <f t="shared" si="2"/>
        <v>0.70833333333333337</v>
      </c>
    </row>
    <row r="45" spans="1:6" ht="18" customHeight="1" x14ac:dyDescent="0.3">
      <c r="A45" s="33">
        <f>RANK(D45,$D$36:$D$46)+COUNTIF($D$36:D45,D45)-1</f>
        <v>11</v>
      </c>
      <c r="B45" s="28" t="s">
        <v>217</v>
      </c>
      <c r="C45" s="37" t="s">
        <v>205</v>
      </c>
      <c r="D45" s="35">
        <f>K$31</f>
        <v>10</v>
      </c>
      <c r="E45" s="35">
        <f>'Matriz de Pesos'!$M$38</f>
        <v>21</v>
      </c>
      <c r="F45" s="36">
        <f t="shared" si="2"/>
        <v>0.47619047619047616</v>
      </c>
    </row>
    <row r="46" spans="1:6" ht="18" customHeight="1" x14ac:dyDescent="0.3">
      <c r="A46" s="33">
        <f>RANK(D46,$D$36:$D$46)+COUNTIF($D$36:D46,D46)-1</f>
        <v>10</v>
      </c>
      <c r="B46" s="28" t="s">
        <v>218</v>
      </c>
      <c r="C46" s="37" t="s">
        <v>205</v>
      </c>
      <c r="D46" s="35">
        <f>L$31</f>
        <v>11</v>
      </c>
      <c r="E46" s="35">
        <f>'Matriz de Pesos'!$N$38</f>
        <v>20</v>
      </c>
      <c r="F46" s="36">
        <f t="shared" si="2"/>
        <v>0.55000000000000004</v>
      </c>
    </row>
    <row r="49" spans="1:6" ht="15" customHeight="1" x14ac:dyDescent="0.3">
      <c r="A49" s="2" t="s">
        <v>293</v>
      </c>
      <c r="B49" s="2"/>
      <c r="C49" s="2"/>
      <c r="D49" s="2"/>
      <c r="E49" s="2"/>
      <c r="F49" s="2"/>
    </row>
    <row r="50" spans="1:6" ht="19.5" customHeight="1" x14ac:dyDescent="0.3">
      <c r="A50" s="32" t="s">
        <v>294</v>
      </c>
      <c r="B50" s="1" t="str">
        <f>INDEX($B$36:$B$46,MATCH(1,$A$36:$A$46,0))&amp;"  —  "&amp;TEXT(INDEX($F$36:$F$46,MATCH(1,$A$36:$A$46,0)),"0.0%")&amp;" del máximo"</f>
        <v>Vida  —  77% del máximo</v>
      </c>
      <c r="C50" s="1"/>
      <c r="D50" s="1"/>
      <c r="E50" s="1"/>
      <c r="F50" s="1"/>
    </row>
    <row r="51" spans="1:6" ht="19.5" customHeight="1" x14ac:dyDescent="0.3">
      <c r="A51" s="32" t="s">
        <v>295</v>
      </c>
      <c r="B51" s="1" t="str">
        <f>INDEX($B$36:$B$46,MATCH(2,$A$36:$A$46,0))&amp;"  —  "&amp;TEXT(INDEX($F$36:$F$46,MATCH(2,$A$36:$A$46,0)),"0.0%")&amp;" del máximo"</f>
        <v>Seguro de mascotas  —  84% del máximo</v>
      </c>
      <c r="C51" s="1"/>
      <c r="D51" s="1"/>
      <c r="E51" s="1"/>
      <c r="F51" s="1"/>
    </row>
    <row r="52" spans="1:6" ht="19.5" customHeight="1" x14ac:dyDescent="0.3">
      <c r="A52" s="32" t="s">
        <v>296</v>
      </c>
      <c r="B52" s="1" t="str">
        <f>INDEX($B$36:$B$46,MATCH(3,$A$36:$A$46,0))&amp;"  —  "&amp;TEXT(INDEX($F$36:$F$46,MATCH(3,$A$36:$A$46,0)),"0.0%")&amp;" del máximo"</f>
        <v>Todo riesgo autos y motos  —  84% del máximo</v>
      </c>
      <c r="C52" s="1"/>
      <c r="D52" s="1"/>
      <c r="E52" s="1"/>
      <c r="F52" s="1"/>
    </row>
  </sheetData>
  <mergeCells count="8">
    <mergeCell ref="B50:F50"/>
    <mergeCell ref="B51:F51"/>
    <mergeCell ref="B52:F52"/>
    <mergeCell ref="A1:F1"/>
    <mergeCell ref="A2:F2"/>
    <mergeCell ref="A18:F18"/>
    <mergeCell ref="A34:F34"/>
    <mergeCell ref="A49:F49"/>
  </mergeCells>
  <conditionalFormatting sqref="A36:F46">
    <cfRule type="expression" dxfId="0" priority="2">
      <formula>$A36&lt;=3</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1">
        <x14:dataValidation type="list">
          <x14:formula1>
            <xm:f>'Variables y Categorías'!$F$4:$F$9</xm:f>
          </x14:formula1>
          <x14:formula2>
            <xm:f>0</xm:f>
          </x14:formula2>
          <xm:sqref>C5</xm:sqref>
        </x14:dataValidation>
        <x14:dataValidation type="list">
          <x14:formula1>
            <xm:f>'Variables y Categorías'!$G$4:$G$5</xm:f>
          </x14:formula1>
          <x14:formula2>
            <xm:f>0</xm:f>
          </x14:formula2>
          <xm:sqref>C6</xm:sqref>
        </x14:dataValidation>
        <x14:dataValidation type="list">
          <x14:formula1>
            <xm:f>'Variables y Categorías'!$H$4:$H$6</xm:f>
          </x14:formula1>
          <x14:formula2>
            <xm:f>0</xm:f>
          </x14:formula2>
          <xm:sqref>C7</xm:sqref>
        </x14:dataValidation>
        <x14:dataValidation type="list">
          <x14:formula1>
            <xm:f>'Variables y Categorías'!$I$4:$I$6</xm:f>
          </x14:formula1>
          <x14:formula2>
            <xm:f>0</xm:f>
          </x14:formula2>
          <xm:sqref>C8</xm:sqref>
        </x14:dataValidation>
        <x14:dataValidation type="list">
          <x14:formula1>
            <xm:f>'Variables y Categorías'!$J$4:$J$8</xm:f>
          </x14:formula1>
          <x14:formula2>
            <xm:f>0</xm:f>
          </x14:formula2>
          <xm:sqref>C9</xm:sqref>
        </x14:dataValidation>
        <x14:dataValidation type="list">
          <x14:formula1>
            <xm:f>'Variables y Categorías'!$K$4:$K$6</xm:f>
          </x14:formula1>
          <x14:formula2>
            <xm:f>0</xm:f>
          </x14:formula2>
          <xm:sqref>C10</xm:sqref>
        </x14:dataValidation>
        <x14:dataValidation type="list">
          <x14:formula1>
            <xm:f>'Variables y Categorías'!$L$4:$L$5</xm:f>
          </x14:formula1>
          <x14:formula2>
            <xm:f>0</xm:f>
          </x14:formula2>
          <xm:sqref>C11</xm:sqref>
        </x14:dataValidation>
        <x14:dataValidation type="list">
          <x14:formula1>
            <xm:f>'Variables y Categorías'!$M$4:$M$6</xm:f>
          </x14:formula1>
          <x14:formula2>
            <xm:f>0</xm:f>
          </x14:formula2>
          <xm:sqref>C12</xm:sqref>
        </x14:dataValidation>
        <x14:dataValidation type="list">
          <x14:formula1>
            <xm:f>'Variables y Categorías'!$N$4:$N$5</xm:f>
          </x14:formula1>
          <x14:formula2>
            <xm:f>0</xm:f>
          </x14:formula2>
          <xm:sqref>C13</xm:sqref>
        </x14:dataValidation>
        <x14:dataValidation type="list">
          <x14:formula1>
            <xm:f>'Variables y Categorías'!$O$4:$O$5</xm:f>
          </x14:formula1>
          <x14:formula2>
            <xm:f>0</xm:f>
          </x14:formula2>
          <xm:sqref>C14</xm:sqref>
        </x14:dataValidation>
        <x14:dataValidation type="list">
          <x14:formula1>
            <xm:f>'Variables y Categorías'!$P$4:$P$5</xm:f>
          </x14:formula1>
          <x14:formula2>
            <xm:f>0</xm:f>
          </x14:formula2>
          <xm:sqref>C15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showGridLines="0" zoomScaleNormal="100" workbookViewId="0">
      <pane ySplit="3" topLeftCell="A4" activePane="bottomLeft" state="frozen"/>
      <selection pane="bottomLeft" sqref="A1:E1"/>
    </sheetView>
  </sheetViews>
  <sheetFormatPr baseColWidth="10" defaultColWidth="8.6640625" defaultRowHeight="14.4" x14ac:dyDescent="0.3"/>
  <cols>
    <col min="1" max="1" width="26" style="8" customWidth="1"/>
    <col min="2" max="2" width="12" style="8" customWidth="1"/>
    <col min="3" max="3" width="55" style="8" customWidth="1"/>
    <col min="4" max="4" width="45" style="8" customWidth="1"/>
    <col min="5" max="5" width="28" style="8" customWidth="1"/>
  </cols>
  <sheetData>
    <row r="1" spans="1:5" ht="21.75" customHeight="1" x14ac:dyDescent="0.3">
      <c r="A1" s="5" t="s">
        <v>297</v>
      </c>
      <c r="B1" s="5"/>
      <c r="C1" s="5"/>
      <c r="D1" s="5"/>
      <c r="E1" s="5"/>
    </row>
    <row r="3" spans="1:5" ht="21.75" customHeight="1" x14ac:dyDescent="0.3">
      <c r="A3" s="11" t="s">
        <v>288</v>
      </c>
      <c r="B3" s="11" t="s">
        <v>289</v>
      </c>
      <c r="C3" s="11" t="s">
        <v>298</v>
      </c>
      <c r="D3" s="11" t="s">
        <v>299</v>
      </c>
      <c r="E3" s="11" t="s">
        <v>30</v>
      </c>
    </row>
    <row r="4" spans="1:5" ht="61.5" customHeight="1" x14ac:dyDescent="0.3">
      <c r="A4" s="38" t="s">
        <v>208</v>
      </c>
      <c r="B4" s="23" t="s">
        <v>204</v>
      </c>
      <c r="C4" s="39" t="s">
        <v>300</v>
      </c>
      <c r="D4" s="39" t="s">
        <v>301</v>
      </c>
      <c r="E4" s="40" t="s">
        <v>302</v>
      </c>
    </row>
    <row r="5" spans="1:5" ht="61.5" customHeight="1" x14ac:dyDescent="0.3">
      <c r="A5" s="38" t="s">
        <v>209</v>
      </c>
      <c r="B5" s="23" t="s">
        <v>204</v>
      </c>
      <c r="C5" s="39" t="s">
        <v>303</v>
      </c>
      <c r="D5" s="39" t="s">
        <v>304</v>
      </c>
      <c r="E5" s="40" t="s">
        <v>305</v>
      </c>
    </row>
    <row r="6" spans="1:5" ht="61.5" customHeight="1" x14ac:dyDescent="0.3">
      <c r="A6" s="38" t="s">
        <v>210</v>
      </c>
      <c r="B6" s="23" t="s">
        <v>204</v>
      </c>
      <c r="C6" s="39" t="s">
        <v>306</v>
      </c>
      <c r="D6" s="39" t="s">
        <v>307</v>
      </c>
      <c r="E6" s="40" t="s">
        <v>308</v>
      </c>
    </row>
    <row r="7" spans="1:5" ht="61.5" customHeight="1" x14ac:dyDescent="0.3">
      <c r="A7" s="38" t="s">
        <v>211</v>
      </c>
      <c r="B7" s="23" t="s">
        <v>204</v>
      </c>
      <c r="C7" s="39" t="s">
        <v>309</v>
      </c>
      <c r="D7" s="39" t="s">
        <v>310</v>
      </c>
      <c r="E7" s="40" t="s">
        <v>65</v>
      </c>
    </row>
    <row r="8" spans="1:5" ht="61.5" customHeight="1" x14ac:dyDescent="0.3">
      <c r="A8" s="38" t="s">
        <v>212</v>
      </c>
      <c r="B8" s="23" t="s">
        <v>204</v>
      </c>
      <c r="C8" s="39" t="s">
        <v>311</v>
      </c>
      <c r="D8" s="39" t="s">
        <v>312</v>
      </c>
      <c r="E8" s="40" t="s">
        <v>313</v>
      </c>
    </row>
    <row r="9" spans="1:5" ht="61.5" customHeight="1" x14ac:dyDescent="0.3">
      <c r="A9" s="38" t="s">
        <v>213</v>
      </c>
      <c r="B9" s="23" t="s">
        <v>204</v>
      </c>
      <c r="C9" s="39" t="s">
        <v>314</v>
      </c>
      <c r="D9" s="39" t="s">
        <v>315</v>
      </c>
      <c r="E9" s="40" t="s">
        <v>75</v>
      </c>
    </row>
    <row r="10" spans="1:5" ht="61.5" customHeight="1" x14ac:dyDescent="0.3">
      <c r="A10" s="38" t="s">
        <v>214</v>
      </c>
      <c r="B10" s="23" t="s">
        <v>204</v>
      </c>
      <c r="C10" s="39" t="s">
        <v>316</v>
      </c>
      <c r="D10" s="39" t="s">
        <v>317</v>
      </c>
      <c r="E10" s="40" t="s">
        <v>318</v>
      </c>
    </row>
    <row r="11" spans="1:5" ht="61.5" customHeight="1" x14ac:dyDescent="0.3">
      <c r="A11" s="38" t="s">
        <v>215</v>
      </c>
      <c r="B11" s="24" t="s">
        <v>205</v>
      </c>
      <c r="C11" s="39" t="s">
        <v>319</v>
      </c>
      <c r="D11" s="39" t="s">
        <v>320</v>
      </c>
      <c r="E11" s="40" t="s">
        <v>80</v>
      </c>
    </row>
    <row r="12" spans="1:5" ht="61.5" customHeight="1" x14ac:dyDescent="0.3">
      <c r="A12" s="38" t="s">
        <v>216</v>
      </c>
      <c r="B12" s="24" t="s">
        <v>205</v>
      </c>
      <c r="C12" s="39" t="s">
        <v>321</v>
      </c>
      <c r="D12" s="39" t="s">
        <v>322</v>
      </c>
      <c r="E12" s="40" t="s">
        <v>85</v>
      </c>
    </row>
    <row r="13" spans="1:5" ht="61.5" customHeight="1" x14ac:dyDescent="0.3">
      <c r="A13" s="38" t="s">
        <v>217</v>
      </c>
      <c r="B13" s="24" t="s">
        <v>205</v>
      </c>
      <c r="C13" s="39" t="s">
        <v>323</v>
      </c>
      <c r="D13" s="39" t="s">
        <v>324</v>
      </c>
      <c r="E13" s="40" t="s">
        <v>99</v>
      </c>
    </row>
    <row r="14" spans="1:5" ht="61.5" customHeight="1" x14ac:dyDescent="0.3">
      <c r="A14" s="38" t="s">
        <v>218</v>
      </c>
      <c r="B14" s="24" t="s">
        <v>205</v>
      </c>
      <c r="C14" s="39" t="s">
        <v>325</v>
      </c>
      <c r="D14" s="39" t="s">
        <v>326</v>
      </c>
      <c r="E14" s="40" t="s">
        <v>103</v>
      </c>
    </row>
  </sheetData>
  <mergeCells count="1">
    <mergeCell ref="A1:E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Guía y Metodología</vt:lpstr>
      <vt:lpstr>Fuentes y Supuestos</vt:lpstr>
      <vt:lpstr>Variables y Categorías</vt:lpstr>
      <vt:lpstr>Matriz de Pesos</vt:lpstr>
      <vt:lpstr>Motor de Scoring</vt:lpstr>
      <vt:lpstr>Datos de Mercado 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FAMILIA P. ESCOBAR</cp:lastModifiedBy>
  <cp:revision>0</cp:revision>
  <dcterms:created xsi:type="dcterms:W3CDTF">2026-07-23T20:07:07Z</dcterms:created>
  <dcterms:modified xsi:type="dcterms:W3CDTF">2026-07-23T20:23:15Z</dcterms:modified>
  <dc:language>en-US</dc:language>
</cp:coreProperties>
</file>